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f9ef2a4b55e24855"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Z:\NUC10\Develop\Excel\CPAC\"/>
    </mc:Choice>
  </mc:AlternateContent>
  <xr:revisionPtr revIDLastSave="0" documentId="13_ncr:1_{F1F40915-2643-48BF-8665-F599A8138232}" xr6:coauthVersionLast="47" xr6:coauthVersionMax="47" xr10:uidLastSave="{00000000-0000-0000-0000-000000000000}"/>
  <bookViews>
    <workbookView xWindow="1665" yWindow="780" windowWidth="19335" windowHeight="13620" tabRatio="824" activeTab="2" xr2:uid="{00000000-000D-0000-FFFF-FFFF00000000}"/>
  </bookViews>
  <sheets>
    <sheet name="README" sheetId="8" r:id="rId1"/>
    <sheet name="EX1" sheetId="79" r:id="rId2"/>
    <sheet name="EX2-QAS" sheetId="68" r:id="rId3"/>
    <sheet name="DEBUG" sheetId="80" r:id="rId4"/>
    <sheet name="EX3-LEK" sheetId="72" r:id="rId5"/>
    <sheet name="EX4-K5101" sheetId="77" r:id="rId6"/>
  </sheets>
  <functionGroups builtInGroupCount="19"/>
  <externalReferences>
    <externalReference r:id="rId7"/>
    <externalReference r:id="rId8"/>
    <externalReference r:id="rId9"/>
    <externalReference r:id="rId10"/>
    <externalReference r:id="rId11"/>
  </externalReferences>
  <definedNames>
    <definedName name="Cfg.CaseName">[1]Config!$B$21</definedName>
    <definedName name="Cfg.Opt1">[1]Config!$C$21</definedName>
    <definedName name="Cfg.Opt2">[1]Config!$D$21</definedName>
    <definedName name="Cfg.Opt3">[1]Config!$E$21</definedName>
    <definedName name="Comp.Case.CpCv">#REF!</definedName>
    <definedName name="Comp.Ref.CpCv">#REF!</definedName>
    <definedName name="CompData.Case1.CpCv">#REF!</definedName>
    <definedName name="CompData.Case10.CpCv">#REF!</definedName>
    <definedName name="CompData.Case11.CpCv">#REF!</definedName>
    <definedName name="CompData.Case12.CpCv">#REF!</definedName>
    <definedName name="CompData.Case13.CpCv">#REF!</definedName>
    <definedName name="CompData.Case14.CpCv">#REF!</definedName>
    <definedName name="CompData.Case15.CpCv">#REF!</definedName>
    <definedName name="CompData.Case16.CpCv">#REF!</definedName>
    <definedName name="CompData.Case17.CpCv">#REF!</definedName>
    <definedName name="CompData.Case18.CpCv">#REF!</definedName>
    <definedName name="CompData.Case19.CpCv">#REF!</definedName>
    <definedName name="CompData.Case2.CpCv">#REF!</definedName>
    <definedName name="CompData.Case20.CpCv">#REF!</definedName>
    <definedName name="CompData.Case21.CpCv">#REF!</definedName>
    <definedName name="CompData.Case22.CpCv">#REF!</definedName>
    <definedName name="CompData.Case23.CpCv">#REF!</definedName>
    <definedName name="CompData.Case24.CpCv">#REF!</definedName>
    <definedName name="CompData.Case25.CpCv">#REF!</definedName>
    <definedName name="CompData.Case26.CpCv">#REF!</definedName>
    <definedName name="CompData.Case27.CpCv">#REF!</definedName>
    <definedName name="CompData.Case28.CpCv">#REF!</definedName>
    <definedName name="CompData.Case29.CpCv">#REF!</definedName>
    <definedName name="CompData.Case3.CpCv">#REF!</definedName>
    <definedName name="CompData.Case30.CpCv">#REF!</definedName>
    <definedName name="CompData.Case31.CpCv">#REF!</definedName>
    <definedName name="CompData.Case32.CpCv">#REF!</definedName>
    <definedName name="CompData.Case33.CpCv">#REF!</definedName>
    <definedName name="CompData.Case34.CpCv">#REF!</definedName>
    <definedName name="CompData.Case35.CpCv">#REF!</definedName>
    <definedName name="CompData.Case36.CpCv">#REF!</definedName>
    <definedName name="CompData.Case37.CpCv">#REF!</definedName>
    <definedName name="CompData.Case38.CpCv">#REF!</definedName>
    <definedName name="CompData.Case39.CpCv">#REF!</definedName>
    <definedName name="CompData.Case4.CpCv">#REF!</definedName>
    <definedName name="CompData.Case40.CpCv">#REF!</definedName>
    <definedName name="CompData.Case41.CpCv">#REF!</definedName>
    <definedName name="CompData.Case42.CpCv">#REF!</definedName>
    <definedName name="CompData.Case43.CpCv">#REF!</definedName>
    <definedName name="CompData.Case44.CpCv">#REF!</definedName>
    <definedName name="CompData.Case45.CpCv">#REF!</definedName>
    <definedName name="CompData.Case46.CpCv">#REF!</definedName>
    <definedName name="CompData.Case47.CpCv">#REF!</definedName>
    <definedName name="CompData.Case48.CpCv">#REF!</definedName>
    <definedName name="CompData.Case49.CpCv">#REF!</definedName>
    <definedName name="CompData.Case5.CpCv">#REF!</definedName>
    <definedName name="CompData.Case50.CpCv">#REF!</definedName>
    <definedName name="CompData.Case6.CpCv">#REF!</definedName>
    <definedName name="CompData.Case7.CpCv">#REF!</definedName>
    <definedName name="CompData.Case8.CpCv">#REF!</definedName>
    <definedName name="CompData.Case9.CpCv">#REF!</definedName>
    <definedName name="CompData.Ref.CpCv">#REF!</definedName>
    <definedName name="Config.Case1.InpOpt1">[2]Config!$AA$49</definedName>
    <definedName name="Config.Case1.InpOpt2">[2]Config!$AB$49</definedName>
    <definedName name="Config.Case1.InpOpt3">[2]Config!$AC$49</definedName>
    <definedName name="Config.Case1.Title">[3]Config!$B$49</definedName>
    <definedName name="Config.Case10.InpOpt1">[2]Config!$AA$58</definedName>
    <definedName name="Config.Case10.InpOpt2">[2]Config!$AB$58</definedName>
    <definedName name="Config.Case10.InpOpt3">[2]Config!$AC$58</definedName>
    <definedName name="Config.Case10.Title">[3]Config!$B$58</definedName>
    <definedName name="Config.Case11.InpOpt1">[2]Config!$AA$59</definedName>
    <definedName name="Config.Case11.InpOpt2">[2]Config!$AB$59</definedName>
    <definedName name="Config.Case11.InpOpt3">[2]Config!$AC$59</definedName>
    <definedName name="Config.Case11.Title">[2]Config!$B$59</definedName>
    <definedName name="Config.Case12.InpOpt1">[2]Config!$AA$60</definedName>
    <definedName name="Config.Case12.InpOpt2">[2]Config!$AB$60</definedName>
    <definedName name="Config.Case12.InpOpt3">[2]Config!$AC$60</definedName>
    <definedName name="Config.Case12.Title">[2]Config!$B$60</definedName>
    <definedName name="Config.Case13.InpOpt1">[2]Config!$AA$61</definedName>
    <definedName name="Config.Case13.InpOpt2">[2]Config!$AB$61</definedName>
    <definedName name="Config.Case13.InpOpt3">[2]Config!$AC$61</definedName>
    <definedName name="Config.Case13.Title">[3]Config!$B$61</definedName>
    <definedName name="Config.Case14.InpOpt1">[2]Config!$AA$62</definedName>
    <definedName name="Config.Case14.InpOpt2">[2]Config!$AB$62</definedName>
    <definedName name="Config.Case14.InpOpt3">[2]Config!$AC$62</definedName>
    <definedName name="Config.Case14.Title">[3]Config!$B$62</definedName>
    <definedName name="Config.Case15.InpOpt1">[2]Config!$AA$63</definedName>
    <definedName name="Config.Case15.InpOpt2">[2]Config!$AB$63</definedName>
    <definedName name="Config.Case15.InpOpt3">[2]Config!$AC$63</definedName>
    <definedName name="Config.Case15.Title">[3]Config!$B$63</definedName>
    <definedName name="Config.Case16.InpOpt1">[2]Config!$AA$64</definedName>
    <definedName name="Config.Case16.InpOpt2">[2]Config!$AB$64</definedName>
    <definedName name="Config.Case16.InpOpt3">[2]Config!$AC$64</definedName>
    <definedName name="Config.Case16.Title">[3]Config!$B$64</definedName>
    <definedName name="Config.Case17.InpOpt1">[2]Config!$AA$65</definedName>
    <definedName name="Config.Case17.InpOpt2">[2]Config!$AB$65</definedName>
    <definedName name="Config.Case17.InpOpt3">[2]Config!$AC$65</definedName>
    <definedName name="Config.Case17.Title">[2]Config!$B$65</definedName>
    <definedName name="Config.Case18.InpOpt1">[2]Config!$AA$66</definedName>
    <definedName name="Config.Case18.InpOpt2">[2]Config!$AB$66</definedName>
    <definedName name="Config.Case18.InpOpt3">[2]Config!$AC$66</definedName>
    <definedName name="Config.Case18.Title">[2]Config!$B$66</definedName>
    <definedName name="Config.Case19.InpOpt1">[2]Config!$AA$67</definedName>
    <definedName name="Config.Case19.InpOpt2">[2]Config!$AB$67</definedName>
    <definedName name="Config.Case19.InpOpt3">[2]Config!$AC$67</definedName>
    <definedName name="Config.Case19.Title">[2]Config!$B$67</definedName>
    <definedName name="Config.Case2.InpOpt1">[2]Config!$AA$50</definedName>
    <definedName name="Config.Case2.InpOpt2">[2]Config!$AB$50</definedName>
    <definedName name="Config.Case2.InpOpt3">[2]Config!$AC$50</definedName>
    <definedName name="Config.Case2.Title">[3]Config!$B$50</definedName>
    <definedName name="Config.Case20.InpOpt1">[2]Config!$AA$68</definedName>
    <definedName name="Config.Case20.InpOpt2">[2]Config!$AB$68</definedName>
    <definedName name="Config.Case20.InpOpt3">[2]Config!$AC$68</definedName>
    <definedName name="Config.Case20.Title">[2]Config!$B$68</definedName>
    <definedName name="Config.Case21.InpOpt1">[2]Config!$AA$69</definedName>
    <definedName name="Config.Case21.InpOpt2">[2]Config!$AB$69</definedName>
    <definedName name="Config.Case21.InpOpt3">[2]Config!$AC$69</definedName>
    <definedName name="Config.Case21.Title">[3]Config!$B$69</definedName>
    <definedName name="Config.Case22.InpOpt1">[2]Config!$AA$70</definedName>
    <definedName name="Config.Case22.InpOpt2">[2]Config!$AB$70</definedName>
    <definedName name="Config.Case22.InpOpt3">[2]Config!$AC$70</definedName>
    <definedName name="Config.Case22.Title">[2]Config!$B$70</definedName>
    <definedName name="Config.Case23.InpOpt1">[2]Config!$AA$71</definedName>
    <definedName name="Config.Case23.InpOpt2">[2]Config!$AB$71</definedName>
    <definedName name="Config.Case23.InpOpt3">[2]Config!$AC$71</definedName>
    <definedName name="Config.Case23.Title">[3]Config!$B$71</definedName>
    <definedName name="Config.Case24.InpOpt1">[2]Config!$AA$72</definedName>
    <definedName name="Config.Case24.InpOpt2">[2]Config!$AB$72</definedName>
    <definedName name="Config.Case24.InpOpt3">[2]Config!$AC$72</definedName>
    <definedName name="Config.Case24.Title">[3]Config!$B$72</definedName>
    <definedName name="Config.Case25.InpOpt1">[2]Config!$AA$73</definedName>
    <definedName name="Config.Case25.InpOpt2">[2]Config!$AB$73</definedName>
    <definedName name="Config.Case25.InpOpt3">[2]Config!$AC$73</definedName>
    <definedName name="Config.Case25.Title">[3]Config!$B$73</definedName>
    <definedName name="Config.Case26.InpOpt1">[2]Config!$AA$74</definedName>
    <definedName name="Config.Case26.InpOpt2">[2]Config!$AB$74</definedName>
    <definedName name="Config.Case26.InpOpt3">[2]Config!$AC$74</definedName>
    <definedName name="Config.Case26.Title">[3]Config!$B$74</definedName>
    <definedName name="Config.Case27.InpOpt1">[2]Config!$AA$75</definedName>
    <definedName name="Config.Case27.InpOpt2">[2]Config!$AB$75</definedName>
    <definedName name="Config.Case27.InpOpt3">[2]Config!$AC$75</definedName>
    <definedName name="Config.Case27.Title">[3]Config!$B$75</definedName>
    <definedName name="Config.Case28.InpOpt1">[2]Config!$AA$76</definedName>
    <definedName name="Config.Case28.InpOpt2">[2]Config!$AB$76</definedName>
    <definedName name="Config.Case28.InpOpt3">[2]Config!$AC$76</definedName>
    <definedName name="Config.Case28.Title">[2]Config!$B$76</definedName>
    <definedName name="Config.Case29.InpOpt1">[2]Config!$AA$77</definedName>
    <definedName name="Config.Case29.InpOpt2">[2]Config!$AB$77</definedName>
    <definedName name="Config.Case29.InpOpt3">[2]Config!$AC$77</definedName>
    <definedName name="Config.Case29.Title">[2]Config!$B$77</definedName>
    <definedName name="Config.Case3.InpOpt1">[2]Config!$AA$51</definedName>
    <definedName name="Config.Case3.InpOpt2">[2]Config!$AB$51</definedName>
    <definedName name="Config.Case3.InpOpt3">[2]Config!$AC$51</definedName>
    <definedName name="Config.Case3.Title">[3]Config!$B$51</definedName>
    <definedName name="Config.Case30.InpOpt1">[2]Config!$AA$78</definedName>
    <definedName name="Config.Case30.InpOpt2">[2]Config!$AB$78</definedName>
    <definedName name="Config.Case30.InpOpt3">[2]Config!$AC$78</definedName>
    <definedName name="Config.Case30.Title">[2]Config!$B$78</definedName>
    <definedName name="Config.Case31.InpOpt1">[2]Config!$AA$79</definedName>
    <definedName name="Config.Case31.InpOpt2">[2]Config!$AB$79</definedName>
    <definedName name="Config.Case31.InpOpt3">[2]Config!$AC$79</definedName>
    <definedName name="Config.Case31.Title">[2]Config!$B$79</definedName>
    <definedName name="Config.Case32.InpOpt1">[2]Config!$AA$80</definedName>
    <definedName name="Config.Case32.InpOpt2">[2]Config!$AB$80</definedName>
    <definedName name="Config.Case32.InpOpt3">[2]Config!$AC$80</definedName>
    <definedName name="Config.Case32.Title">[2]Config!$B$80</definedName>
    <definedName name="Config.Case33.InpOpt1">[2]Config!$AA$81</definedName>
    <definedName name="Config.Case33.InpOpt2">[2]Config!$AB$81</definedName>
    <definedName name="Config.Case33.InpOpt3">[2]Config!$AC$81</definedName>
    <definedName name="Config.Case33.Title">[2]Config!$B$81</definedName>
    <definedName name="Config.Case34.InpOpt1">[2]Config!$AA$82</definedName>
    <definedName name="Config.Case34.InpOpt2">[2]Config!$AB$82</definedName>
    <definedName name="Config.Case34.InpOpt3">[2]Config!$AC$82</definedName>
    <definedName name="Config.Case34.Title">[2]Config!$B$82</definedName>
    <definedName name="Config.Case35.InpOpt1">[2]Config!$AA$83</definedName>
    <definedName name="Config.Case35.InpOpt2">[2]Config!$AB$83</definedName>
    <definedName name="Config.Case35.InpOpt3">[2]Config!$AC$83</definedName>
    <definedName name="Config.Case35.Title">[2]Config!$B$83</definedName>
    <definedName name="Config.Case36.InpOpt1">[2]Config!$AA$84</definedName>
    <definedName name="Config.Case36.InpOpt2">[2]Config!$AB$84</definedName>
    <definedName name="Config.Case36.InpOpt3">[2]Config!$AC$84</definedName>
    <definedName name="Config.Case36.Title">[2]Config!$B$84</definedName>
    <definedName name="Config.Case37.InpOpt1">[2]Config!$AA$85</definedName>
    <definedName name="Config.Case37.InpOpt2">[2]Config!$AB$85</definedName>
    <definedName name="Config.Case37.InpOpt3">[2]Config!$AC$85</definedName>
    <definedName name="Config.Case37.Title">[2]Config!$B$85</definedName>
    <definedName name="Config.Case38.InpOpt1">[2]Config!$AA$86</definedName>
    <definedName name="Config.Case38.InpOpt2">[2]Config!$AB$86</definedName>
    <definedName name="Config.Case38.InpOpt3">[2]Config!$AC$86</definedName>
    <definedName name="Config.Case38.Title">[2]Config!$B$86</definedName>
    <definedName name="Config.Case39.InpOpt1">[2]Config!$AA$87</definedName>
    <definedName name="Config.Case39.InpOpt2">[2]Config!$AB$87</definedName>
    <definedName name="Config.Case39.InpOpt3">[2]Config!$AC$87</definedName>
    <definedName name="Config.Case39.Title">[2]Config!$B$87</definedName>
    <definedName name="Config.Case4.InpOpt1">[2]Config!$AA$52</definedName>
    <definedName name="Config.Case4.InpOpt2">[2]Config!$AB$52</definedName>
    <definedName name="Config.Case4.InpOpt3">[2]Config!$AC$52</definedName>
    <definedName name="Config.Case4.Title">[3]Config!$B$52</definedName>
    <definedName name="Config.Case40.InpOpt1">[2]Config!$AA$88</definedName>
    <definedName name="Config.Case40.InpOpt2">[2]Config!$AB$88</definedName>
    <definedName name="Config.Case40.InpOpt3">[2]Config!$AC$88</definedName>
    <definedName name="Config.Case40.Title">[2]Config!$B$88</definedName>
    <definedName name="Config.Case41.InpOpt1">[2]Config!$AA$89</definedName>
    <definedName name="Config.Case41.InpOpt2">[2]Config!$AB$89</definedName>
    <definedName name="Config.Case41.InpOpt3">[2]Config!$AC$89</definedName>
    <definedName name="Config.Case41.Title">[2]Config!$B$89</definedName>
    <definedName name="Config.Case42.InpOpt1">[2]Config!$AA$90</definedName>
    <definedName name="Config.Case42.InpOpt2">[2]Config!$AB$90</definedName>
    <definedName name="Config.Case42.InpOpt3">[2]Config!$AC$90</definedName>
    <definedName name="Config.Case42.Title">[2]Config!$B$90</definedName>
    <definedName name="Config.Case43.InpOpt1">[2]Config!$AA$91</definedName>
    <definedName name="Config.Case43.InpOpt2">[2]Config!$AB$91</definedName>
    <definedName name="Config.Case43.InpOpt3">[2]Config!$AC$91</definedName>
    <definedName name="Config.Case43.Title">[2]Config!$B$91</definedName>
    <definedName name="Config.Case44.InpOpt1">[2]Config!$AA$92</definedName>
    <definedName name="Config.Case44.InpOpt2">[2]Config!$AB$92</definedName>
    <definedName name="Config.Case44.InpOpt3">[2]Config!$AC$92</definedName>
    <definedName name="Config.Case44.Title">[2]Config!$B$92</definedName>
    <definedName name="Config.Case45.InpOpt1">[2]Config!$AA$93</definedName>
    <definedName name="Config.Case45.InpOpt2">[2]Config!$AB$93</definedName>
    <definedName name="Config.Case45.InpOpt3">[2]Config!$AC$93</definedName>
    <definedName name="Config.Case45.Title">[2]Config!$B$93</definedName>
    <definedName name="Config.Case46.InpOpt1">[2]Config!$AA$94</definedName>
    <definedName name="Config.Case46.InpOpt2">[2]Config!$AB$94</definedName>
    <definedName name="Config.Case46.InpOpt3">[2]Config!$AC$94</definedName>
    <definedName name="Config.Case46.Title">[2]Config!$B$94</definedName>
    <definedName name="Config.Case47.InpOpt1">[2]Config!$AA$95</definedName>
    <definedName name="Config.Case47.InpOpt2">[2]Config!$AB$95</definedName>
    <definedName name="Config.Case47.InpOpt3">[2]Config!$AC$95</definedName>
    <definedName name="Config.Case47.Title">[2]Config!$B$95</definedName>
    <definedName name="Config.Case48.InpOpt1">[2]Config!$AA$96</definedName>
    <definedName name="Config.Case48.InpOpt2">[2]Config!$AB$96</definedName>
    <definedName name="Config.Case48.InpOpt3">[2]Config!$AC$96</definedName>
    <definedName name="Config.Case48.Title">[2]Config!$B$96</definedName>
    <definedName name="Config.Case49.InpOpt1">[2]Config!$AA$97</definedName>
    <definedName name="Config.Case49.InpOpt2">[2]Config!$AB$97</definedName>
    <definedName name="Config.Case49.InpOpt3">[2]Config!$AC$97</definedName>
    <definedName name="Config.Case49.Title">[2]Config!$B$97</definedName>
    <definedName name="Config.Case5.InpOpt1">[2]Config!$AA$53</definedName>
    <definedName name="Config.Case5.InpOpt2">[2]Config!$AB$53</definedName>
    <definedName name="Config.Case5.InpOpt3">[2]Config!$AC$53</definedName>
    <definedName name="Config.Case5.Title">[3]Config!$B$53</definedName>
    <definedName name="Config.Case50.InpOpt1">[2]Config!$AA$98</definedName>
    <definedName name="Config.Case50.InpOpt2">[2]Config!$AB$98</definedName>
    <definedName name="Config.Case50.InpOpt3">[2]Config!$AC$98</definedName>
    <definedName name="Config.Case50.Title">[2]Config!$B$98</definedName>
    <definedName name="Config.Case6.InpOpt1">[2]Config!$AA$54</definedName>
    <definedName name="Config.Case6.InpOpt2">[2]Config!$AB$54</definedName>
    <definedName name="Config.Case6.InpOpt3">[2]Config!$AC$54</definedName>
    <definedName name="Config.Case6.Title">[3]Config!$B$54</definedName>
    <definedName name="Config.Case7.InpOpt1">[2]Config!$AA$55</definedName>
    <definedName name="Config.Case7.InpOpt2">[2]Config!$AB$55</definedName>
    <definedName name="Config.Case7.InpOpt3">[2]Config!$AC$55</definedName>
    <definedName name="Config.Case7.Title">[3]Config!$B$55</definedName>
    <definedName name="Config.Case8.InpOpt1">[2]Config!$AA$56</definedName>
    <definedName name="Config.Case8.InpOpt2">[2]Config!$AB$56</definedName>
    <definedName name="Config.Case8.InpOpt3">[2]Config!$AC$56</definedName>
    <definedName name="Config.Case8.Title">[3]Config!$B$56</definedName>
    <definedName name="Config.Case9.InpOpt1">[2]Config!$AA$57</definedName>
    <definedName name="Config.Case9.InpOpt2">[2]Config!$AB$57</definedName>
    <definedName name="Config.Case9.InpOpt3">[2]Config!$AC$57</definedName>
    <definedName name="Config.Case9.Title">[3]Config!$B$57</definedName>
    <definedName name="EU.Base.Head">[2]Config!$D$29</definedName>
    <definedName name="EU.Base.MassFlow">[2]Config!$E$29</definedName>
    <definedName name="EU.Base.Press">[2]Config!$B$29</definedName>
    <definedName name="EU.Base.Temp">[2]Config!$C$30</definedName>
    <definedName name="EU.Base.VolFlow">[2]Config!$F$29</definedName>
    <definedName name="EU.Dens">[1]Config!$I$18</definedName>
    <definedName name="EU.dP">[1]Config!$H$18</definedName>
    <definedName name="EU.Head">[1]Config!$E$18</definedName>
    <definedName name="EU.Mass">[1]Config!$F$18</definedName>
    <definedName name="EU.Press">[1]Config!$C$18</definedName>
    <definedName name="EU.Sel.DelP">[4]Config!$G$26</definedName>
    <definedName name="EU.Sel.Dens">[2]Config!$H$26</definedName>
    <definedName name="EU.Sel.Head">[2]Config!$D$26</definedName>
    <definedName name="EU.Sel.MassFlow">[2]Config!$E$26</definedName>
    <definedName name="EU.Sel.Power">[2]Config!$I$26</definedName>
    <definedName name="EU.Sel.Press">[2]Config!$B$26</definedName>
    <definedName name="EU.Sel.Temp">[2]Config!$C$26</definedName>
    <definedName name="EU.Sel.VolFlow">[2]Config!$F$26</definedName>
    <definedName name="EU.Temp">[1]Config!$D$18</definedName>
    <definedName name="EU.Vol">[1]Config!$G$18</definedName>
    <definedName name="EUS.Head">[1]Config!$R$10:$R$12</definedName>
    <definedName name="EUS.Mass">[1]Config!$S$10:$S$19</definedName>
    <definedName name="EUS.Power">[1]Config!$W$10:$W$11</definedName>
    <definedName name="EUS.Press">[1]Config!$P$10:$P$17</definedName>
    <definedName name="EUS.Temp">[1]Config!$Q$10:$Q$13</definedName>
    <definedName name="EUS.Vol">[1]Config!$T$10:$T$15</definedName>
    <definedName name="FT.Loc">[1]Design!$B$42</definedName>
    <definedName name="InpOpt1">[1]Config!$Z$9:$Z$10</definedName>
    <definedName name="InpOpt2">[1]Config!$AA$9:$AA$11</definedName>
    <definedName name="InpOpt3">[1]Config!$AB$9:$AB$10</definedName>
    <definedName name="_xlnm.Print_Area" localSheetId="2">'EX2-QAS'!$A$1:$V$41</definedName>
    <definedName name="QQ">[5]Config!$B$26</definedName>
    <definedName name="SSS">[5]Config!$D$26</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N6" i="80" l="1"/>
  <c r="AN7" i="80"/>
  <c r="AN8" i="80"/>
  <c r="AN9" i="80"/>
  <c r="AN10" i="80"/>
  <c r="AN11" i="80"/>
  <c r="AN12" i="80"/>
  <c r="AN13" i="80"/>
  <c r="AN14" i="80"/>
  <c r="AN15" i="80"/>
  <c r="AN16" i="80"/>
  <c r="AN17" i="80"/>
  <c r="AN18" i="80"/>
  <c r="AN19" i="80"/>
  <c r="AN20" i="80"/>
  <c r="AN21" i="80"/>
  <c r="AN22" i="80"/>
  <c r="AN23" i="80"/>
  <c r="AN24" i="80"/>
  <c r="AN25" i="80"/>
  <c r="AN26" i="80"/>
  <c r="AN27" i="80"/>
  <c r="AN28" i="80"/>
  <c r="AN29" i="80"/>
  <c r="AN30" i="80"/>
  <c r="AN31" i="80"/>
  <c r="AN32" i="80"/>
  <c r="AN33" i="80"/>
  <c r="AN34" i="80"/>
  <c r="AN35" i="80"/>
  <c r="AN36" i="80"/>
  <c r="AN37" i="80"/>
  <c r="AN38" i="80"/>
  <c r="AN39" i="80"/>
  <c r="AN40" i="80"/>
  <c r="AN41" i="80"/>
  <c r="AN42" i="80"/>
  <c r="AN43" i="80"/>
  <c r="AN44" i="80"/>
  <c r="AN45" i="80"/>
  <c r="AN46" i="80"/>
  <c r="AN47" i="80"/>
  <c r="AN48" i="80"/>
  <c r="AN49" i="80"/>
  <c r="AN50" i="80"/>
  <c r="AN51" i="80"/>
  <c r="AN52" i="80"/>
  <c r="AN53" i="80"/>
  <c r="AN54" i="80"/>
  <c r="AN55" i="80"/>
  <c r="AN56" i="80"/>
  <c r="AN57" i="80"/>
  <c r="AN58" i="80"/>
  <c r="AN59" i="80"/>
  <c r="AN60" i="80"/>
  <c r="AN61" i="80"/>
  <c r="AN62" i="80"/>
  <c r="AN63" i="80"/>
  <c r="AN64" i="80"/>
  <c r="AN65" i="80"/>
  <c r="AN66" i="80"/>
  <c r="AN67" i="80"/>
  <c r="AN68" i="80"/>
  <c r="AN69" i="80"/>
  <c r="AN70" i="80"/>
  <c r="AN71" i="80"/>
  <c r="AN72" i="80"/>
  <c r="AN73" i="80"/>
  <c r="AN74" i="80"/>
  <c r="AN75" i="80"/>
  <c r="AN76" i="80"/>
  <c r="AN77" i="80"/>
  <c r="AN78" i="80"/>
  <c r="AN79" i="80"/>
  <c r="AN80" i="80"/>
  <c r="AN81" i="80"/>
  <c r="AN82" i="80"/>
  <c r="AN83" i="80"/>
  <c r="AN84" i="80"/>
  <c r="AN85" i="80"/>
  <c r="AN86" i="80"/>
  <c r="AN87" i="80"/>
  <c r="AN88" i="80"/>
  <c r="AN89" i="80"/>
  <c r="AN90" i="80"/>
  <c r="AN91" i="80"/>
  <c r="AN92" i="80"/>
  <c r="AN93" i="80"/>
  <c r="AN94" i="80"/>
  <c r="AN95" i="80"/>
  <c r="AN96" i="80"/>
  <c r="AN97" i="80"/>
  <c r="AN98" i="80"/>
  <c r="AN99" i="80"/>
  <c r="AN100" i="80"/>
  <c r="AN101" i="80"/>
  <c r="AN102" i="80"/>
  <c r="AN103" i="80"/>
  <c r="AN104" i="80"/>
  <c r="AN105" i="80"/>
  <c r="AN106" i="80"/>
  <c r="AN107" i="80"/>
  <c r="AN108" i="80"/>
  <c r="AN109" i="80"/>
  <c r="AN110" i="80"/>
  <c r="AN111" i="80"/>
  <c r="AN112" i="80"/>
  <c r="AN113" i="80"/>
  <c r="AN114" i="80"/>
  <c r="AN115" i="80"/>
  <c r="AN116" i="80"/>
  <c r="AN117" i="80"/>
  <c r="AN118" i="80"/>
  <c r="AN119" i="80"/>
  <c r="AN120" i="80"/>
  <c r="AN121" i="80"/>
  <c r="AN122" i="80"/>
  <c r="AN123" i="80"/>
  <c r="AN124" i="80"/>
  <c r="AN125" i="80"/>
  <c r="AN126" i="80"/>
  <c r="AN127" i="80"/>
  <c r="AN128" i="80"/>
  <c r="AN129" i="80"/>
  <c r="AN130" i="80"/>
  <c r="AN131" i="80"/>
  <c r="AN132" i="80"/>
  <c r="AN133" i="80"/>
  <c r="AN134" i="80"/>
  <c r="AN135" i="80"/>
  <c r="AN136" i="80"/>
  <c r="AN137" i="80"/>
  <c r="AN138" i="80"/>
  <c r="AN139" i="80"/>
  <c r="AN140" i="80"/>
  <c r="AN141" i="80"/>
  <c r="AN142" i="80"/>
  <c r="AN143" i="80"/>
  <c r="AN144" i="80"/>
  <c r="AN145" i="80"/>
  <c r="AN146" i="80"/>
  <c r="AN147" i="80"/>
  <c r="AN148" i="80"/>
  <c r="AN149" i="80"/>
  <c r="AN150" i="80"/>
  <c r="AN151" i="80"/>
  <c r="AN152" i="80"/>
  <c r="AN153" i="80"/>
  <c r="AN154" i="80"/>
  <c r="AN155" i="80"/>
  <c r="AN156" i="80"/>
  <c r="AN157" i="80"/>
  <c r="AN158" i="80"/>
  <c r="AN159" i="80"/>
  <c r="AN160" i="80"/>
  <c r="AN161" i="80"/>
  <c r="AN162" i="80"/>
  <c r="AN163" i="80"/>
  <c r="AN164" i="80"/>
  <c r="AN165" i="80"/>
  <c r="AN166" i="80"/>
  <c r="AN167" i="80"/>
  <c r="AN168" i="80"/>
  <c r="AN169" i="80"/>
  <c r="AN170" i="80"/>
  <c r="AN171" i="80"/>
  <c r="AN5" i="80"/>
  <c r="F5" i="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niu</author>
  </authors>
  <commentList>
    <comment ref="A1" authorId="0" shapeId="0" xr:uid="{E6135F2F-3170-4B05-8655-AA8E34884E17}">
      <text>
        <r>
          <rPr>
            <sz val="9"/>
            <color indexed="81"/>
            <rFont val="Tahoma"/>
            <family val="2"/>
          </rPr>
          <t>TEST 33366</t>
        </r>
      </text>
    </comment>
    <comment ref="N3" authorId="0" shapeId="0" xr:uid="{D7EB7BBE-9F19-48BA-BA40-4CA04AC49EFF}">
      <text>
        <r>
          <rPr>
            <sz val="9"/>
            <color indexed="81"/>
            <rFont val="Tahoma"/>
            <charset val="1"/>
          </rPr>
          <t>Above normal range._x000D_
  Calc'ed: 1.023</t>
        </r>
      </text>
    </comment>
    <comment ref="T3" authorId="0" shapeId="0" xr:uid="{80FC658E-DCFD-4A30-9A00-BAFBB5002058}">
      <text>
        <r>
          <rPr>
            <sz val="9"/>
            <color indexed="81"/>
            <rFont val="Tahoma"/>
            <charset val="1"/>
          </rPr>
          <t>Below normal range._x000D_
  Calc'ed: 0.860</t>
        </r>
      </text>
    </comment>
    <comment ref="G4" authorId="0" shapeId="0" xr:uid="{EA545481-2ABC-4F05-9C5D-7BF55C2B9FD7}">
      <text>
        <r>
          <rPr>
            <sz val="9"/>
            <color indexed="81"/>
            <rFont val="Tahoma"/>
            <charset val="1"/>
          </rPr>
          <t>Above normal range._x000D_
  Calc'ed: 1.340</t>
        </r>
      </text>
    </comment>
    <comment ref="T4" authorId="0" shapeId="0" xr:uid="{FE63D93B-653D-4747-8AA5-088999E779DC}">
      <text>
        <r>
          <rPr>
            <sz val="9"/>
            <color indexed="81"/>
            <rFont val="Tahoma"/>
            <charset val="1"/>
          </rPr>
          <t>Below normal range._x000D_
  Calc'ed: 0.731</t>
        </r>
      </text>
    </comment>
    <comment ref="G5" authorId="0" shapeId="0" xr:uid="{632DCE2E-ABA7-4EE3-B2CD-39C95D23CA4C}">
      <text>
        <r>
          <rPr>
            <sz val="9"/>
            <color indexed="81"/>
            <rFont val="Tahoma"/>
            <charset val="1"/>
          </rPr>
          <t>Above normal range._x000D_
  Calc'ed: 1.340</t>
        </r>
      </text>
    </comment>
    <comment ref="T5" authorId="0" shapeId="0" xr:uid="{CC44198F-7975-4C92-874B-42A271933F4A}">
      <text>
        <r>
          <rPr>
            <sz val="9"/>
            <color indexed="81"/>
            <rFont val="Tahoma"/>
            <charset val="1"/>
          </rPr>
          <t>Below normal range._x000D_
  Calc'ed: 0.676</t>
        </r>
      </text>
    </comment>
    <comment ref="G6" authorId="0" shapeId="0" xr:uid="{0584BFC2-FD33-4EEF-A55F-E24DB13A07EA}">
      <text>
        <r>
          <rPr>
            <sz val="9"/>
            <color indexed="81"/>
            <rFont val="Tahoma"/>
            <charset val="1"/>
          </rPr>
          <t>Above normal range._x000D_
  Calc'ed: 1.340</t>
        </r>
      </text>
    </comment>
    <comment ref="T6" authorId="0" shapeId="0" xr:uid="{679A90D5-82AA-4348-89F6-CAAE119C44A6}">
      <text>
        <r>
          <rPr>
            <sz val="9"/>
            <color indexed="81"/>
            <rFont val="Tahoma"/>
            <charset val="1"/>
          </rPr>
          <t>Below normal range._x000D_
  Calc'ed: 0.437</t>
        </r>
      </text>
    </comment>
    <comment ref="G7" authorId="0" shapeId="0" xr:uid="{F1514867-12FE-48F3-930C-6C0E6E115D7D}">
      <text>
        <r>
          <rPr>
            <sz val="9"/>
            <color indexed="81"/>
            <rFont val="Tahoma"/>
            <charset val="1"/>
          </rPr>
          <t>Above normal range._x000D_
  Calc'ed: 1.340</t>
        </r>
      </text>
    </comment>
    <comment ref="T7" authorId="0" shapeId="0" xr:uid="{721CF56D-9383-46E7-8412-A1331365A23C}">
      <text>
        <r>
          <rPr>
            <sz val="9"/>
            <color indexed="81"/>
            <rFont val="Tahoma"/>
            <charset val="1"/>
          </rPr>
          <t>Below normal range._x000D_
  Calc'ed: 0.506</t>
        </r>
      </text>
    </comment>
    <comment ref="G8" authorId="0" shapeId="0" xr:uid="{D85558D1-1C8A-463C-91B0-FD93D8271D9C}">
      <text>
        <r>
          <rPr>
            <sz val="9"/>
            <color indexed="81"/>
            <rFont val="Tahoma"/>
            <charset val="1"/>
          </rPr>
          <t>Above normal range._x000D_
  Calc'ed: 1.340</t>
        </r>
      </text>
    </comment>
    <comment ref="T8" authorId="0" shapeId="0" xr:uid="{9D8F8142-C9A1-41C8-9C79-222B830229DC}">
      <text>
        <r>
          <rPr>
            <sz val="9"/>
            <color indexed="81"/>
            <rFont val="Tahoma"/>
            <charset val="1"/>
          </rPr>
          <t>Below normal range._x000D_
  Calc'ed: 0.592</t>
        </r>
      </text>
    </comment>
    <comment ref="G9" authorId="0" shapeId="0" xr:uid="{AFE128C5-DD9C-48F7-ADBB-E026BBDD6830}">
      <text>
        <r>
          <rPr>
            <sz val="9"/>
            <color indexed="81"/>
            <rFont val="Tahoma"/>
            <charset val="1"/>
          </rPr>
          <t>Above normal range._x000D_
  Calc'ed: 1.340</t>
        </r>
      </text>
    </comment>
    <comment ref="T9" authorId="0" shapeId="0" xr:uid="{229A106E-3551-48D9-8366-C74698F40D83}">
      <text>
        <r>
          <rPr>
            <sz val="9"/>
            <color indexed="81"/>
            <rFont val="Tahoma"/>
            <charset val="1"/>
          </rPr>
          <t>Below normal range._x000D_
  Calc'ed: 0.724</t>
        </r>
      </text>
    </comment>
    <comment ref="G10" authorId="0" shapeId="0" xr:uid="{4E350C20-DC59-4E4D-949F-110EF98D693D}">
      <text>
        <r>
          <rPr>
            <sz val="9"/>
            <color indexed="81"/>
            <rFont val="Tahoma"/>
            <charset val="1"/>
          </rPr>
          <t>Above normal range._x000D_
  Calc'ed: 1.340</t>
        </r>
      </text>
    </comment>
    <comment ref="T10" authorId="0" shapeId="0" xr:uid="{5AD80A64-9603-4098-BB20-BBB9EF65E65A}">
      <text>
        <r>
          <rPr>
            <sz val="9"/>
            <color indexed="81"/>
            <rFont val="Tahoma"/>
            <charset val="1"/>
          </rPr>
          <t>Below normal range._x000D_
  Calc'ed: 0.883</t>
        </r>
      </text>
    </comment>
    <comment ref="G11" authorId="0" shapeId="0" xr:uid="{13852473-026E-47F9-9D0D-327A43F6180A}">
      <text>
        <r>
          <rPr>
            <sz val="9"/>
            <color indexed="81"/>
            <rFont val="Tahoma"/>
            <charset val="1"/>
          </rPr>
          <t>Above normal range._x000D_
  Calc'ed: 1.340</t>
        </r>
      </text>
    </comment>
    <comment ref="T11" authorId="0" shapeId="0" xr:uid="{DDCA3C68-2118-4EF1-8126-5AE18B16A875}">
      <text>
        <r>
          <rPr>
            <sz val="9"/>
            <color indexed="81"/>
            <rFont val="Tahoma"/>
            <charset val="1"/>
          </rPr>
          <t>Below normal range._x000D_
  Calc'ed: 0.500</t>
        </r>
      </text>
    </comment>
    <comment ref="G12" authorId="0" shapeId="0" xr:uid="{2BA7571B-B7DA-4BA7-BADC-3653FBFCF2B9}">
      <text>
        <r>
          <rPr>
            <sz val="9"/>
            <color indexed="81"/>
            <rFont val="Tahoma"/>
            <charset val="1"/>
          </rPr>
          <t>Above normal range._x000D_
  Calc'ed: 1.340</t>
        </r>
      </text>
    </comment>
    <comment ref="T12" authorId="0" shapeId="0" xr:uid="{6C41216C-5C80-4CDF-8B9F-8AB038D598D8}">
      <text>
        <r>
          <rPr>
            <sz val="9"/>
            <color indexed="81"/>
            <rFont val="Tahoma"/>
            <charset val="1"/>
          </rPr>
          <t>Below normal range._x000D_
  Calc'ed: 0.558</t>
        </r>
      </text>
    </comment>
    <comment ref="G13" authorId="0" shapeId="0" xr:uid="{8FA3CEFB-AC3E-4DBF-8009-0E0C70B37FA8}">
      <text>
        <r>
          <rPr>
            <sz val="9"/>
            <color indexed="81"/>
            <rFont val="Tahoma"/>
            <charset val="1"/>
          </rPr>
          <t>Above normal range._x000D_
  Calc'ed: 1.340</t>
        </r>
      </text>
    </comment>
    <comment ref="T13" authorId="0" shapeId="0" xr:uid="{DC0B7B66-32EE-40B4-B59C-14379A0498BB}">
      <text>
        <r>
          <rPr>
            <sz val="9"/>
            <color indexed="81"/>
            <rFont val="Tahoma"/>
            <charset val="1"/>
          </rPr>
          <t>Below normal range._x000D_
  Calc'ed: 0.597</t>
        </r>
      </text>
    </comment>
    <comment ref="G14" authorId="0" shapeId="0" xr:uid="{C8983626-5D93-4B6A-BF07-D640CF9FC7F2}">
      <text>
        <r>
          <rPr>
            <sz val="9"/>
            <color indexed="81"/>
            <rFont val="Tahoma"/>
            <charset val="1"/>
          </rPr>
          <t>Above normal range._x000D_
  Calc'ed: 1.340</t>
        </r>
      </text>
    </comment>
    <comment ref="T14" authorId="0" shapeId="0" xr:uid="{66507FD8-C8A2-4E19-A269-8BC044C9B6EC}">
      <text>
        <r>
          <rPr>
            <sz val="9"/>
            <color indexed="81"/>
            <rFont val="Tahoma"/>
            <charset val="1"/>
          </rPr>
          <t>Below normal range._x000D_
  Calc'ed: 0.682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niu</author>
  </authors>
  <commentList>
    <comment ref="A1" authorId="0" shapeId="0" xr:uid="{E1F5FFA9-3311-4329-8CE1-6CBD31E7519A}">
      <text>
        <r>
          <rPr>
            <sz val="9"/>
            <color indexed="81"/>
            <rFont val="Tahoma"/>
            <family val="2"/>
          </rPr>
          <t>K-101: PGC</t>
        </r>
      </text>
    </comment>
    <comment ref="AG3" authorId="0" shapeId="0" xr:uid="{2ADB8152-0CE7-4A21-BC43-A746A419A243}">
      <text>
        <r>
          <rPr>
            <sz val="9"/>
            <color indexed="81"/>
            <rFont val="Tahoma"/>
            <family val="2"/>
          </rPr>
          <t>Value is below normal range._x000D_
  Calculated value: 0.116023870223064</t>
        </r>
      </text>
    </comment>
    <comment ref="U5" authorId="0" shapeId="0" xr:uid="{0BAC128C-FB8E-4CB4-83FE-8B6BC080FF59}">
      <text>
        <r>
          <rPr>
            <sz val="9"/>
            <color indexed="81"/>
            <rFont val="Tahoma"/>
            <charset val="1"/>
          </rPr>
          <t>Below normal range._x000D_
  Calc'ed: 1.446</t>
        </r>
      </text>
    </comment>
    <comment ref="AD5" authorId="0" shapeId="0" xr:uid="{4934FA5D-76F7-4832-A6B6-87F0F298E52C}">
      <text>
        <r>
          <rPr>
            <sz val="9"/>
            <color indexed="81"/>
            <rFont val="Tahoma"/>
            <family val="2"/>
          </rPr>
          <t>Value is below normal range._x000D_
  Calculated value: 0.922538597546935</t>
        </r>
      </text>
    </comment>
    <comment ref="N6" authorId="0" shapeId="0" xr:uid="{20CDEA15-742A-48A0-8612-9F580C30A6D1}">
      <text>
        <r>
          <rPr>
            <sz val="9"/>
            <color indexed="81"/>
            <rFont val="Tahoma"/>
            <charset val="1"/>
          </rPr>
          <t>Above normal range._x000D_
  Calc'ed: 1.076</t>
        </r>
      </text>
    </comment>
    <comment ref="U6" authorId="0" shapeId="0" xr:uid="{718F5E59-0B8B-4026-9714-A59F39A1166F}">
      <text>
        <r>
          <rPr>
            <sz val="9"/>
            <color indexed="81"/>
            <rFont val="Tahoma"/>
            <charset val="1"/>
          </rPr>
          <t>Below normal range._x000D_
  Calc'ed: 1.218</t>
        </r>
      </text>
    </comment>
    <comment ref="N7" authorId="0" shapeId="0" xr:uid="{074D361C-763E-494C-A752-443651078235}">
      <text>
        <r>
          <rPr>
            <sz val="9"/>
            <color indexed="81"/>
            <rFont val="Tahoma"/>
            <charset val="1"/>
          </rPr>
          <t>Above normal range._x000D_
  Calc'ed: 1.081</t>
        </r>
      </text>
    </comment>
    <comment ref="U7" authorId="0" shapeId="0" xr:uid="{2A27F2D4-AE82-448B-A883-674F0BD8F317}">
      <text>
        <r>
          <rPr>
            <sz val="9"/>
            <color indexed="81"/>
            <rFont val="Tahoma"/>
            <charset val="1"/>
          </rPr>
          <t>Below normal range._x000D_
  Calc'ed: 1.309</t>
        </r>
      </text>
    </comment>
    <comment ref="N8" authorId="0" shapeId="0" xr:uid="{27A06394-5EBF-480B-B82E-9E0E4F484A8B}">
      <text>
        <r>
          <rPr>
            <sz val="9"/>
            <color indexed="81"/>
            <rFont val="Tahoma"/>
            <charset val="1"/>
          </rPr>
          <t>Above normal range._x000D_
  Calc'ed: 1.083</t>
        </r>
      </text>
    </comment>
    <comment ref="U8" authorId="0" shapeId="0" xr:uid="{897A873B-C962-4DD9-8E12-130918CF7388}">
      <text>
        <r>
          <rPr>
            <sz val="9"/>
            <color indexed="81"/>
            <rFont val="Tahoma"/>
            <charset val="1"/>
          </rPr>
          <t>Below normal range._x000D_
  Calc'ed: 1.350</t>
        </r>
      </text>
    </comment>
    <comment ref="N9" authorId="0" shapeId="0" xr:uid="{6B9504BA-5638-499D-BF8C-3CC57F369E09}">
      <text>
        <r>
          <rPr>
            <sz val="9"/>
            <color indexed="81"/>
            <rFont val="Tahoma"/>
            <charset val="1"/>
          </rPr>
          <t>Above normal range._x000D_
  Calc'ed: 1.083</t>
        </r>
      </text>
    </comment>
    <comment ref="U9" authorId="0" shapeId="0" xr:uid="{2C4BFF7D-7417-4420-9D3F-B7CAE82A8405}">
      <text>
        <r>
          <rPr>
            <sz val="9"/>
            <color indexed="81"/>
            <rFont val="Tahoma"/>
            <charset val="1"/>
          </rPr>
          <t>Below normal range._x000D_
  Calc'ed: 1.353</t>
        </r>
      </text>
    </comment>
    <comment ref="N10" authorId="0" shapeId="0" xr:uid="{2602C566-BE2D-476D-B464-DF7FD13C75E2}">
      <text>
        <r>
          <rPr>
            <sz val="9"/>
            <color indexed="81"/>
            <rFont val="Tahoma"/>
            <charset val="1"/>
          </rPr>
          <t>Above normal range._x000D_
  Calc'ed: 1.087</t>
        </r>
      </text>
    </comment>
    <comment ref="U10" authorId="0" shapeId="0" xr:uid="{FB8A2783-4A63-487E-82CE-C03DE1272C68}">
      <text>
        <r>
          <rPr>
            <sz val="9"/>
            <color indexed="81"/>
            <rFont val="Tahoma"/>
            <charset val="1"/>
          </rPr>
          <t>Below normal range._x000D_
  Calc'ed: 1.432</t>
        </r>
      </text>
    </comment>
    <comment ref="N11" authorId="0" shapeId="0" xr:uid="{90DFE576-42D6-4801-97D2-6D85D3547302}">
      <text>
        <r>
          <rPr>
            <sz val="9"/>
            <color indexed="81"/>
            <rFont val="Tahoma"/>
            <charset val="1"/>
          </rPr>
          <t>Above normal range._x000D_
  Calc'ed: 1.090</t>
        </r>
      </text>
    </comment>
    <comment ref="U11" authorId="0" shapeId="0" xr:uid="{2AE22732-12FD-47F2-989C-4D46C275A7DF}">
      <text>
        <r>
          <rPr>
            <sz val="9"/>
            <color indexed="81"/>
            <rFont val="Tahoma"/>
            <charset val="1"/>
          </rPr>
          <t>Below normal range._x000D_
  Calc'ed: 1.533</t>
        </r>
      </text>
    </comment>
    <comment ref="N12" authorId="0" shapeId="0" xr:uid="{47530962-A04B-479E-A9F7-3D2CE04278D2}">
      <text>
        <r>
          <rPr>
            <sz val="9"/>
            <color indexed="81"/>
            <rFont val="Tahoma"/>
            <charset val="1"/>
          </rPr>
          <t>Above normal range._x000D_
  Calc'ed: 1.093</t>
        </r>
      </text>
    </comment>
    <comment ref="U12" authorId="0" shapeId="0" xr:uid="{23EE78DA-3D50-4941-A68D-0ADE577C0169}">
      <text>
        <r>
          <rPr>
            <sz val="9"/>
            <color indexed="81"/>
            <rFont val="Tahoma"/>
            <charset val="1"/>
          </rPr>
          <t>Below normal range._x000D_
  Calc'ed: 1.737</t>
        </r>
      </text>
    </comment>
    <comment ref="N13" authorId="0" shapeId="0" xr:uid="{7BF61BE4-EA3E-4B58-9170-27A2B42C26E8}">
      <text>
        <r>
          <rPr>
            <sz val="9"/>
            <color indexed="81"/>
            <rFont val="Tahoma"/>
            <charset val="1"/>
          </rPr>
          <t>Above normal range._x000D_
  Calc'ed: 1.092</t>
        </r>
      </text>
    </comment>
    <comment ref="U13" authorId="0" shapeId="0" xr:uid="{934D610D-7930-4420-A518-15BA38B6C469}">
      <text>
        <r>
          <rPr>
            <sz val="9"/>
            <color indexed="81"/>
            <rFont val="Tahoma"/>
            <charset val="1"/>
          </rPr>
          <t>Below normal range._x000D_
  Calc'ed: 1.865</t>
        </r>
      </text>
    </comment>
    <comment ref="N14" authorId="0" shapeId="0" xr:uid="{9B2FE13B-3B1F-4024-A908-CE6FC4C46733}">
      <text>
        <r>
          <rPr>
            <sz val="9"/>
            <color indexed="81"/>
            <rFont val="Tahoma"/>
            <charset val="1"/>
          </rPr>
          <t>Above normal range._x000D_
  Calc'ed: 1.089</t>
        </r>
      </text>
    </comment>
    <comment ref="N15" authorId="0" shapeId="0" xr:uid="{30303742-5B3E-4D77-BA9E-09ACCAD205D8}">
      <text>
        <r>
          <rPr>
            <sz val="9"/>
            <color indexed="81"/>
            <rFont val="Tahoma"/>
            <charset val="1"/>
          </rPr>
          <t>Above normal range._x000D_
  Calc'ed: 1.086</t>
        </r>
      </text>
    </comment>
    <comment ref="N16" authorId="0" shapeId="0" xr:uid="{66496E3E-552B-45FE-9DF9-AD15E7459569}">
      <text>
        <r>
          <rPr>
            <sz val="9"/>
            <color indexed="81"/>
            <rFont val="Tahoma"/>
            <charset val="1"/>
          </rPr>
          <t>Above normal range._x000D_
  Calc'ed: 1.079</t>
        </r>
      </text>
    </comment>
    <comment ref="N17" authorId="0" shapeId="0" xr:uid="{B6E1C94A-2F5F-4929-8236-1D1F3E411A93}">
      <text>
        <r>
          <rPr>
            <sz val="9"/>
            <color indexed="81"/>
            <rFont val="Tahoma"/>
            <charset val="1"/>
          </rPr>
          <t>Above normal range._x000D_
  Calc'ed: 1.075</t>
        </r>
      </text>
    </comment>
    <comment ref="N18" authorId="0" shapeId="0" xr:uid="{669A4052-ED77-464A-B52A-36E07A18C703}">
      <text>
        <r>
          <rPr>
            <sz val="9"/>
            <color indexed="81"/>
            <rFont val="Tahoma"/>
            <charset val="1"/>
          </rPr>
          <t>Above normal range._x000D_
  Calc'ed: 1.055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niu</author>
  </authors>
  <commentList>
    <comment ref="R3" authorId="0" shapeId="0" xr:uid="{8743E47E-950E-40F1-B21F-F55627CFE415}">
      <text>
        <r>
          <rPr>
            <sz val="9"/>
            <color indexed="81"/>
            <rFont val="Tahoma"/>
            <charset val="1"/>
          </rPr>
          <t>Below normal range._x000D_
  Calc'ed: 0.363</t>
        </r>
      </text>
    </comment>
    <comment ref="K5" authorId="0" shapeId="0" xr:uid="{6E7D4388-3E4A-4270-8227-02C5524B813D}">
      <text>
        <r>
          <rPr>
            <sz val="9"/>
            <color indexed="81"/>
            <rFont val="Tahoma"/>
            <charset val="1"/>
          </rPr>
          <t xml:space="preserve">Above normal range._x000D_
  Entered: 1.903_x000D_
  H Range: 1.200_x000D_
</t>
        </r>
      </text>
    </comment>
    <comment ref="M5" authorId="0" shapeId="0" xr:uid="{4D2642FF-5EB9-45D4-9E64-58A5AD69FD51}">
      <text>
        <r>
          <rPr>
            <sz val="9"/>
            <color indexed="81"/>
            <rFont val="Tahoma"/>
            <charset val="1"/>
          </rPr>
          <t xml:space="preserve">Below normal range._x000D_
  Entered: 45.588_x000D_
  L Range: 100.000_x000D_
</t>
        </r>
      </text>
    </comment>
    <comment ref="R5" authorId="0" shapeId="0" xr:uid="{584B53EE-84CD-432D-948F-0525E46BAF3A}">
      <text>
        <r>
          <rPr>
            <sz val="9"/>
            <color indexed="81"/>
            <rFont val="Tahoma"/>
            <charset val="1"/>
          </rPr>
          <t xml:space="preserve">Below normal range._x000D_
  Entered: 0.125_x000D_
  Calc'ed: 0.125  L Range: 1.000_x000D_
</t>
        </r>
      </text>
    </comment>
    <comment ref="T5" authorId="0" shapeId="0" xr:uid="{8EFFC773-F50C-4617-9658-F9F95E739B87}">
      <text>
        <r>
          <rPr>
            <sz val="9"/>
            <color indexed="81"/>
            <rFont val="Tahoma"/>
            <charset val="1"/>
          </rPr>
          <t>Below normal range._x000D_
  Calc'ed: 0.198</t>
        </r>
      </text>
    </comment>
    <comment ref="M6" authorId="0" shapeId="0" xr:uid="{307077D3-33E2-4AED-8A12-17A5CCB5ED89}">
      <text>
        <r>
          <rPr>
            <sz val="9"/>
            <color indexed="81"/>
            <rFont val="Tahoma"/>
            <charset val="1"/>
          </rPr>
          <t xml:space="preserve">Below normal range._x000D_
  Entered: 43.771_x000D_
  L Range: 100.000_x000D_
</t>
        </r>
      </text>
    </comment>
    <comment ref="R6" authorId="0" shapeId="0" xr:uid="{B7A1325B-E1EB-4F2A-98EE-5DD58A17060D}">
      <text>
        <r>
          <rPr>
            <sz val="9"/>
            <color indexed="81"/>
            <rFont val="Tahoma"/>
            <charset val="1"/>
          </rPr>
          <t xml:space="preserve">Below normal range._x000D_
  Entered: 0.156_x000D_
  Calc'ed: 0.156  L Range: 1.000_x000D_
</t>
        </r>
      </text>
    </comment>
    <comment ref="T6" authorId="0" shapeId="0" xr:uid="{DA580834-28D2-410B-B62E-07C9C60EBD32}">
      <text>
        <r>
          <rPr>
            <sz val="9"/>
            <color indexed="81"/>
            <rFont val="Tahoma"/>
            <charset val="1"/>
          </rPr>
          <t>Below normal range._x000D_
  Calc'ed: 0.118</t>
        </r>
      </text>
    </comment>
    <comment ref="M7" authorId="0" shapeId="0" xr:uid="{C530D799-3E37-4410-9044-C6B3D76C6566}">
      <text>
        <r>
          <rPr>
            <sz val="9"/>
            <color indexed="81"/>
            <rFont val="Tahoma"/>
            <charset val="1"/>
          </rPr>
          <t xml:space="preserve">Below normal range._x000D_
  Entered: 38.680_x000D_
  L Range: 100.000_x000D_
</t>
        </r>
      </text>
    </comment>
    <comment ref="R7" authorId="0" shapeId="0" xr:uid="{F234CF59-F732-4C29-A6BA-5BA7E8724BEC}">
      <text>
        <r>
          <rPr>
            <sz val="9"/>
            <color indexed="81"/>
            <rFont val="Tahoma"/>
            <charset val="1"/>
          </rPr>
          <t xml:space="preserve">Below normal range._x000D_
  Entered: 0.186_x000D_
  Calc'ed: 0.186  L Range: 1.000_x000D_
</t>
        </r>
      </text>
    </comment>
    <comment ref="T7" authorId="0" shapeId="0" xr:uid="{EBB7D0C3-3084-45AB-A078-C68CFDBB5625}">
      <text>
        <r>
          <rPr>
            <sz val="9"/>
            <color indexed="81"/>
            <rFont val="Tahoma"/>
            <charset val="1"/>
          </rPr>
          <t>Below normal range._x000D_
  Calc'ed: 0.144</t>
        </r>
      </text>
    </comment>
    <comment ref="M8" authorId="0" shapeId="0" xr:uid="{947D1C77-907A-454F-8B63-F68ED049C656}">
      <text>
        <r>
          <rPr>
            <sz val="9"/>
            <color indexed="81"/>
            <rFont val="Tahoma"/>
            <charset val="1"/>
          </rPr>
          <t xml:space="preserve">Below normal range._x000D_
  Entered: 29.190_x000D_
  L Range: 100.000_x000D_
</t>
        </r>
      </text>
    </comment>
    <comment ref="R8" authorId="0" shapeId="0" xr:uid="{866ADB0A-182C-485C-9CE9-BC889230C989}">
      <text>
        <r>
          <rPr>
            <sz val="9"/>
            <color indexed="81"/>
            <rFont val="Tahoma"/>
            <charset val="1"/>
          </rPr>
          <t xml:space="preserve">Below normal range._x000D_
  Entered: 0.219_x000D_
  Calc'ed: 0.219  L Range: 1.000_x000D_
</t>
        </r>
      </text>
    </comment>
    <comment ref="T8" authorId="0" shapeId="0" xr:uid="{1E88A285-08A4-4B38-BDC5-E08205CEBD89}">
      <text>
        <r>
          <rPr>
            <sz val="9"/>
            <color indexed="81"/>
            <rFont val="Tahoma"/>
            <charset val="1"/>
          </rPr>
          <t>Below normal range._x000D_
  Calc'ed: 0.181</t>
        </r>
      </text>
    </comment>
    <comment ref="M9" authorId="0" shapeId="0" xr:uid="{218D3802-03BF-4C45-8F8C-2864DF2B7D61}">
      <text>
        <r>
          <rPr>
            <sz val="9"/>
            <color indexed="81"/>
            <rFont val="Tahoma"/>
            <charset val="1"/>
          </rPr>
          <t xml:space="preserve">Below normal range._x000D_
  Entered: 21.831_x000D_
  L Range: 100.000_x000D_
</t>
        </r>
      </text>
    </comment>
    <comment ref="R9" authorId="0" shapeId="0" xr:uid="{8FC18D76-A60A-41BF-AA07-7F09741C428C}">
      <text>
        <r>
          <rPr>
            <sz val="9"/>
            <color indexed="81"/>
            <rFont val="Tahoma"/>
            <charset val="1"/>
          </rPr>
          <t xml:space="preserve">Below normal range._x000D_
  Entered: 0.238_x000D_
  Calc'ed: 0.238  L Range: 1.000_x000D_
</t>
        </r>
      </text>
    </comment>
    <comment ref="T9" authorId="0" shapeId="0" xr:uid="{B356568B-C6FD-4F5D-B96D-BA559FD83CBD}">
      <text>
        <r>
          <rPr>
            <sz val="9"/>
            <color indexed="81"/>
            <rFont val="Tahoma"/>
            <charset val="1"/>
          </rPr>
          <t>Below normal range._x000D_
  Calc'ed: 0.208</t>
        </r>
      </text>
    </comment>
    <comment ref="M10" authorId="0" shapeId="0" xr:uid="{7FE0C94E-6475-41B8-B0CB-8883CB26BD1C}">
      <text>
        <r>
          <rPr>
            <sz val="9"/>
            <color indexed="81"/>
            <rFont val="Tahoma"/>
            <charset val="1"/>
          </rPr>
          <t xml:space="preserve">Below normal range._x000D_
  Entered: 59.588_x000D_
  L Range: 100.000_x000D_
</t>
        </r>
      </text>
    </comment>
    <comment ref="R10" authorId="0" shapeId="0" xr:uid="{EBB31D2F-A9FE-4F3F-B349-CD8EFA260CF7}">
      <text>
        <r>
          <rPr>
            <sz val="9"/>
            <color indexed="81"/>
            <rFont val="Tahoma"/>
            <charset val="1"/>
          </rPr>
          <t xml:space="preserve">Below normal range._x000D_
  Entered: 0.146_x000D_
  Calc'ed: 0.146  L Range: 1.000_x000D_
</t>
        </r>
      </text>
    </comment>
    <comment ref="T10" authorId="0" shapeId="0" xr:uid="{8333CA8E-6433-4BD9-8EA2-9E79EBE76A6F}">
      <text>
        <r>
          <rPr>
            <sz val="9"/>
            <color indexed="81"/>
            <rFont val="Tahoma"/>
            <charset val="1"/>
          </rPr>
          <t>Below normal range._x000D_
  Calc'ed: 0.101</t>
        </r>
      </text>
    </comment>
    <comment ref="M11" authorId="0" shapeId="0" xr:uid="{12E4FE61-5212-411F-B063-8BD6D44960BA}">
      <text>
        <r>
          <rPr>
            <sz val="9"/>
            <color indexed="81"/>
            <rFont val="Tahoma"/>
            <charset val="1"/>
          </rPr>
          <t xml:space="preserve">Below normal range._x000D_
  Entered: 58.617_x000D_
  L Range: 100.000_x000D_
</t>
        </r>
      </text>
    </comment>
    <comment ref="R11" authorId="0" shapeId="0" xr:uid="{D8465141-BA5E-4778-B83D-A926677CF5AD}">
      <text>
        <r>
          <rPr>
            <sz val="9"/>
            <color indexed="81"/>
            <rFont val="Tahoma"/>
            <charset val="1"/>
          </rPr>
          <t xml:space="preserve">Below normal range._x000D_
  Entered: 0.176_x000D_
  Calc'ed: 0.176  L Range: 1.000_x000D_
</t>
        </r>
      </text>
    </comment>
    <comment ref="T11" authorId="0" shapeId="0" xr:uid="{BD573A15-B702-4465-8E54-DE09C98ABAF1}">
      <text>
        <r>
          <rPr>
            <sz val="9"/>
            <color indexed="81"/>
            <rFont val="Tahoma"/>
            <charset val="1"/>
          </rPr>
          <t>Below normal range._x000D_
  Calc'ed: 0.121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niu</author>
  </authors>
  <commentList>
    <comment ref="A1" authorId="0" shapeId="0" xr:uid="{091FB488-9731-4501-A766-46987C62B4DB}">
      <text>
        <r>
          <rPr>
            <sz val="9"/>
            <color indexed="81"/>
            <rFont val="Tahoma"/>
            <family val="2"/>
          </rPr>
          <t>K-5101:</t>
        </r>
      </text>
    </comment>
    <comment ref="M3" authorId="0" shapeId="0" xr:uid="{CD8E8AE7-4D59-4320-85C1-AD849D1AE7AD}">
      <text>
        <r>
          <rPr>
            <sz val="9"/>
            <color indexed="81"/>
            <rFont val="Tahoma"/>
            <charset val="1"/>
          </rPr>
          <t>Below normal range._x000D_
  Calc'ed: 85.869</t>
        </r>
      </text>
    </comment>
    <comment ref="M5" authorId="0" shapeId="0" xr:uid="{F3210BB2-069C-4795-9F1D-863FB824E514}">
      <text>
        <r>
          <rPr>
            <sz val="9"/>
            <color indexed="81"/>
            <rFont val="Tahoma"/>
            <charset val="1"/>
          </rPr>
          <t xml:space="preserve">Below normal range._x000D_
  Entered: 88.711_x000D_
  Calc'ed: 85.589  L Range: 100.000_x000D_
</t>
        </r>
      </text>
    </comment>
    <comment ref="N5" authorId="0" shapeId="0" xr:uid="{83EB99DD-C60A-4016-B0E8-5ED832B66E06}">
      <text>
        <r>
          <rPr>
            <sz val="9"/>
            <color indexed="81"/>
            <rFont val="Tahoma"/>
            <charset val="1"/>
          </rPr>
          <t xml:space="preserve">Above normal range._x000D_
  Entered: 79.600_x000D_
  Calc'ed: 1.379  H Range: 0.999_x000D_
</t>
        </r>
      </text>
    </comment>
    <comment ref="R5" authorId="0" shapeId="0" xr:uid="{515613B2-AC43-47B6-A762-DE51EC473BAE}">
      <text>
        <r>
          <rPr>
            <sz val="9"/>
            <color indexed="81"/>
            <rFont val="Tahoma"/>
            <charset val="1"/>
          </rPr>
          <t>Below normal range._x000D_
  Calc'ed: 0.842</t>
        </r>
      </text>
    </comment>
    <comment ref="M6" authorId="0" shapeId="0" xr:uid="{01371BAA-8305-4B74-A22B-71A327FAB819}">
      <text>
        <r>
          <rPr>
            <sz val="9"/>
            <color indexed="81"/>
            <rFont val="Tahoma"/>
            <charset val="1"/>
          </rPr>
          <t xml:space="preserve">Below normal range._x000D_
  Entered: 80.084_x000D_
  Calc'ed: 77.122  L Range: 100.000_x000D_
</t>
        </r>
      </text>
    </comment>
    <comment ref="N6" authorId="0" shapeId="0" xr:uid="{BB7C0B37-2F03-46D2-A188-FB68C68D9D81}">
      <text>
        <r>
          <rPr>
            <sz val="9"/>
            <color indexed="81"/>
            <rFont val="Tahoma"/>
            <charset val="1"/>
          </rPr>
          <t xml:space="preserve">Above normal range._x000D_
  Entered: 80.500_x000D_
  Calc'ed: 1.505  H Range: 0.999_x000D_
</t>
        </r>
      </text>
    </comment>
    <comment ref="R6" authorId="0" shapeId="0" xr:uid="{171116BC-16B5-411E-9406-0B27DDB995AF}">
      <text>
        <r>
          <rPr>
            <sz val="9"/>
            <color indexed="81"/>
            <rFont val="Tahoma"/>
            <charset val="1"/>
          </rPr>
          <t>Below normal range._x000D_
  Calc'ed: 0.771</t>
        </r>
      </text>
    </comment>
    <comment ref="M7" authorId="0" shapeId="0" xr:uid="{498F36FC-A090-42D7-B91D-DB1EA0E04456}">
      <text>
        <r>
          <rPr>
            <sz val="9"/>
            <color indexed="81"/>
            <rFont val="Tahoma"/>
            <charset val="1"/>
          </rPr>
          <t xml:space="preserve">Below normal range._x000D_
  Entered: 89.260_x000D_
  Calc'ed: 85.873  L Range: 100.000_x000D_
</t>
        </r>
      </text>
    </comment>
    <comment ref="N7" authorId="0" shapeId="0" xr:uid="{B01582BE-5E6A-4CFB-9A14-ECA770A39273}">
      <text>
        <r>
          <rPr>
            <sz val="9"/>
            <color indexed="81"/>
            <rFont val="Tahoma"/>
            <charset val="1"/>
          </rPr>
          <t xml:space="preserve">Above normal range._x000D_
  Entered: 79.500_x000D_
  Calc'ed: 1.519  H Range: 0.999_x000D_
</t>
        </r>
      </text>
    </comment>
    <comment ref="R7" authorId="0" shapeId="0" xr:uid="{50AD46DE-949D-4296-8667-71146308A038}">
      <text>
        <r>
          <rPr>
            <sz val="9"/>
            <color indexed="81"/>
            <rFont val="Tahoma"/>
            <charset val="1"/>
          </rPr>
          <t>Below normal range._x000D_
  Calc'ed: 0.849</t>
        </r>
      </text>
    </comment>
    <comment ref="M8" authorId="0" shapeId="0" xr:uid="{2540D8C1-DE6D-4D82-87C0-4CCD6C1E135F}">
      <text>
        <r>
          <rPr>
            <sz val="9"/>
            <color indexed="81"/>
            <rFont val="Tahoma"/>
            <charset val="1"/>
          </rPr>
          <t xml:space="preserve">Below normal range._x000D_
  Entered: 88.416_x000D_
  Calc'ed: 85.264  L Range: 100.000_x000D_
</t>
        </r>
      </text>
    </comment>
    <comment ref="N8" authorId="0" shapeId="0" xr:uid="{126FA9BD-B7E0-421B-BF53-8993F4B607BA}">
      <text>
        <r>
          <rPr>
            <sz val="9"/>
            <color indexed="81"/>
            <rFont val="Tahoma"/>
            <charset val="1"/>
          </rPr>
          <t xml:space="preserve">Above normal range._x000D_
  Entered: 80.000_x000D_
  Calc'ed: 1.395  H Range: 0.999_x000D_
</t>
        </r>
      </text>
    </comment>
    <comment ref="R8" authorId="0" shapeId="0" xr:uid="{7F262273-CF27-4870-B93B-43FED7CE9412}">
      <text>
        <r>
          <rPr>
            <sz val="9"/>
            <color indexed="81"/>
            <rFont val="Tahoma"/>
            <charset val="1"/>
          </rPr>
          <t>Below normal range._x000D_
  Calc'ed: 0.827</t>
        </r>
      </text>
    </comment>
    <comment ref="M9" authorId="0" shapeId="0" xr:uid="{6020D848-48CE-48DF-9112-0CEFD5870158}">
      <text>
        <r>
          <rPr>
            <sz val="9"/>
            <color indexed="81"/>
            <rFont val="Tahoma"/>
            <charset val="1"/>
          </rPr>
          <t xml:space="preserve">Below normal range._x000D_
  Entered: 84.300_x000D_
  Calc'ed: 81.245  L Range: 100.000_x000D_
</t>
        </r>
      </text>
    </comment>
    <comment ref="N9" authorId="0" shapeId="0" xr:uid="{5380D998-669F-4E8C-AE14-3C28D36385CB}">
      <text>
        <r>
          <rPr>
            <sz val="9"/>
            <color indexed="81"/>
            <rFont val="Tahoma"/>
            <charset val="1"/>
          </rPr>
          <t xml:space="preserve">Above normal range._x000D_
  Entered: 80.800_x000D_
  Calc'ed: 1.451  H Range: 0.999_x000D_
</t>
        </r>
      </text>
    </comment>
    <comment ref="R9" authorId="0" shapeId="0" xr:uid="{CF59805F-B903-4DC8-964E-125B69AD8C2E}">
      <text>
        <r>
          <rPr>
            <sz val="9"/>
            <color indexed="81"/>
            <rFont val="Tahoma"/>
            <charset val="1"/>
          </rPr>
          <t>Below normal range._x000D_
  Calc'ed: 0.781</t>
        </r>
      </text>
    </comment>
    <comment ref="M10" authorId="0" shapeId="0" xr:uid="{2DC29238-F1C5-4B01-980D-B1E2DC173D0C}">
      <text>
        <r>
          <rPr>
            <sz val="9"/>
            <color indexed="81"/>
            <rFont val="Tahoma"/>
            <charset val="1"/>
          </rPr>
          <t xml:space="preserve">Below normal range._x000D_
  Entered: 94.834_x000D_
  Calc'ed: 89.306  L Range: 100.000_x000D_
</t>
        </r>
      </text>
    </comment>
    <comment ref="N10" authorId="0" shapeId="0" xr:uid="{3F27B34B-62D5-4906-8034-46AA0007B4DF}">
      <text>
        <r>
          <rPr>
            <sz val="9"/>
            <color indexed="81"/>
            <rFont val="Tahoma"/>
            <charset val="1"/>
          </rPr>
          <t xml:space="preserve">Above normal range._x000D_
  Entered: 83.400_x000D_
  Calc'ed: 1.586  H Range: 0.999_x000D_
</t>
        </r>
      </text>
    </comment>
    <comment ref="R10" authorId="0" shapeId="0" xr:uid="{5DBB5BB1-6168-4B41-AD84-715A49571954}">
      <text>
        <r>
          <rPr>
            <sz val="9"/>
            <color indexed="81"/>
            <rFont val="Tahoma"/>
            <charset val="1"/>
          </rPr>
          <t>Below normal range._x000D_
  Calc'ed: 0.694</t>
        </r>
      </text>
    </comment>
    <comment ref="N11" authorId="0" shapeId="0" xr:uid="{7905E3D4-2619-4BD8-95F6-895A9DAA0269}">
      <text>
        <r>
          <rPr>
            <sz val="9"/>
            <color indexed="81"/>
            <rFont val="Tahoma"/>
            <charset val="1"/>
          </rPr>
          <t xml:space="preserve">Above normal range._x000D_
  Entered: 83.500_x000D_
  Calc'ed: 1.151  H Range: 0.999_x000D_
</t>
        </r>
      </text>
    </comment>
  </commentList>
</comments>
</file>

<file path=xl/sharedStrings.xml><?xml version="1.0" encoding="utf-8"?>
<sst xmlns="http://schemas.openxmlformats.org/spreadsheetml/2006/main" count="3755" uniqueCount="129">
  <si>
    <t>FT</t>
  </si>
  <si>
    <t>SPEED</t>
  </si>
  <si>
    <t>MW</t>
  </si>
  <si>
    <t>P1</t>
  </si>
  <si>
    <t>T1</t>
  </si>
  <si>
    <t>Z1</t>
  </si>
  <si>
    <t>P2</t>
  </si>
  <si>
    <t>T2</t>
  </si>
  <si>
    <t>Z2</t>
  </si>
  <si>
    <t>DP</t>
  </si>
  <si>
    <t>-</t>
  </si>
  <si>
    <t>%</t>
  </si>
  <si>
    <t>K</t>
  </si>
  <si>
    <t>kg/s</t>
  </si>
  <si>
    <t>Can select any one or more scenarios to validate against the calculated ASP coefficients</t>
  </si>
  <si>
    <t>Automated calculation of the surge reference line (SRL) based on search/detection of the worst-scenario surge points.</t>
  </si>
  <si>
    <t>Excel Add-In based, thus the CASP software and user data are not mingled. Easier for maintenance and upgrade</t>
  </si>
  <si>
    <t>CASE</t>
  </si>
  <si>
    <t>HEAD</t>
  </si>
  <si>
    <t>EFF</t>
  </si>
  <si>
    <t>K1</t>
  </si>
  <si>
    <t>K2</t>
  </si>
  <si>
    <t>TYPE</t>
  </si>
  <si>
    <t>POWER</t>
  </si>
  <si>
    <t>X</t>
    <phoneticPr fontId="2" type="noConversion"/>
  </si>
  <si>
    <t>X</t>
    <phoneticPr fontId="2" type="noConversion"/>
  </si>
  <si>
    <t>SRV</t>
  </si>
  <si>
    <t>Data Structure</t>
  </si>
  <si>
    <t>Can have unlimited number of scenarios, each scenario can have unlimited number of speed lines, and each speed line can have unlimited number of data points</t>
  </si>
  <si>
    <t>Data are arranged in tabulated format, thus allowing copy and paste from vendor provided spreadsheet.</t>
  </si>
  <si>
    <t>Data are organized as scenarios (cases), each scenario can have one or more speed lines, and each line must have at least three points (first point being SURGE and last point being CHOKE)</t>
  </si>
  <si>
    <t xml:space="preserve">Can choose any one or more scenarios for ASP calculation. </t>
  </si>
  <si>
    <t>You should now see a menu item called CASP at the menu line.</t>
  </si>
  <si>
    <t>X</t>
  </si>
  <si>
    <t>FM</t>
  </si>
  <si>
    <t>N'</t>
  </si>
  <si>
    <t>FV1</t>
  </si>
  <si>
    <t>FV2</t>
  </si>
  <si>
    <t>FVS</t>
  </si>
  <si>
    <t>CV</t>
  </si>
  <si>
    <t>CF</t>
  </si>
  <si>
    <t>PR</t>
  </si>
  <si>
    <t>1REF</t>
  </si>
  <si>
    <t>FLOW</t>
  </si>
  <si>
    <t>4PERF</t>
  </si>
  <si>
    <t>GPM</t>
  </si>
  <si>
    <t>2LIMIT</t>
  </si>
  <si>
    <t>HIGH</t>
  </si>
  <si>
    <t>Open a blank spreadsheet, or an existing existing CASP spreadsheet (in XLSX format)  as you would normally do</t>
  </si>
  <si>
    <t>When prompted, enable MACROS for CASPxxx.XLAM</t>
  </si>
  <si>
    <t>To create a CASP template for data input, click CASP &gt;&gt;  CACULATE ASP &gt;&gt; DATE TEMPLATE</t>
  </si>
  <si>
    <t>With data populated, run LOAD DATA first to reveal additional commands</t>
  </si>
  <si>
    <t>5RTOP</t>
  </si>
  <si>
    <t>LOW</t>
  </si>
  <si>
    <t>RPM</t>
  </si>
  <si>
    <t>KG/KMOL</t>
  </si>
  <si>
    <t>KPAA</t>
  </si>
  <si>
    <t>KJ/KG</t>
  </si>
  <si>
    <t>KW</t>
  </si>
  <si>
    <t>KG/S</t>
  </si>
  <si>
    <t>M3/HR</t>
  </si>
  <si>
    <t>KPA</t>
  </si>
  <si>
    <t>CASE A</t>
  </si>
  <si>
    <t>BARA</t>
  </si>
  <si>
    <t>SUMMER</t>
  </si>
  <si>
    <t>CASE B</t>
  </si>
  <si>
    <t>CASE C</t>
  </si>
  <si>
    <t>CASE D</t>
  </si>
  <si>
    <t>CASE N2</t>
  </si>
  <si>
    <t>3DESIGN</t>
  </si>
  <si>
    <t>Locate the CASPXXX.XLAM file and open it. This is the calculation engine (Excel Add-In) for CASP, and you only need to open it once unless you've closed all Excel workbooks.</t>
  </si>
  <si>
    <t>Running CASP</t>
  </si>
  <si>
    <t>Simulateneously produce ASP coefficients for three ASP equations including PDO format (FT-based), Shell format (DP-based), and CASPformat  (DP-Based)</t>
  </si>
  <si>
    <t>Engineering Units: currently supports ISO units, will add support for other units as needed</t>
  </si>
  <si>
    <t>Five types of data can be enterred: 1REF for reference condition, 4PERF for performance data are mandatory. 2LIMIT for operating limits, 3DESIGN for design data, and 5RTOP for real-time operating data are optional</t>
  </si>
  <si>
    <t>KPAA
KPAG
BARA
BARG
PSIA
PSIG</t>
  </si>
  <si>
    <t>K
C
F
R
DEGC
DEGF</t>
  </si>
  <si>
    <t>KJ/KG
M
FT</t>
  </si>
  <si>
    <t>KG/S
KG/MIN
KG/HR
T/HR
T/D
LBS/MIN</t>
  </si>
  <si>
    <t xml:space="preserve">M3/S
M3/MIN
M3/HR
FT3/S
FT3/MIN
FT3/HR
</t>
  </si>
  <si>
    <t xml:space="preserve">KPA
PSI
INH2O
MMH2O
BAR
MBAR
</t>
  </si>
  <si>
    <t>KW
HP</t>
  </si>
  <si>
    <t xml:space="preserve">DATA TYPES: </t>
  </si>
  <si>
    <t>As a minimum requirement, each row of data must be one of the following, and there must be one (and only one) 1REF line, and at least one 4PERF for CASP to run</t>
  </si>
  <si>
    <t>1</t>
  </si>
  <si>
    <t>mbar</t>
  </si>
  <si>
    <t>kg/kmol</t>
  </si>
  <si>
    <t>SURGE TEST</t>
  </si>
  <si>
    <t>Case A</t>
  </si>
  <si>
    <t>Case B</t>
  </si>
  <si>
    <t>3FLOW</t>
  </si>
  <si>
    <t>4ASCV</t>
  </si>
  <si>
    <t>5DESIGN</t>
  </si>
  <si>
    <t>6PERF</t>
  </si>
  <si>
    <t>7RTOP</t>
  </si>
  <si>
    <t>DP2</t>
  </si>
  <si>
    <t>FLOWMETER</t>
  </si>
  <si>
    <t>DP1</t>
  </si>
  <si>
    <t>2LIMITS</t>
  </si>
  <si>
    <t>M3/S</t>
  </si>
  <si>
    <t>AS-BUILT</t>
  </si>
  <si>
    <t>DEGC</t>
  </si>
  <si>
    <t>kPaa</t>
  </si>
  <si>
    <t>kJ/kg</t>
  </si>
  <si>
    <t>kW</t>
  </si>
  <si>
    <t>m3/h</t>
  </si>
  <si>
    <t>CASE FUEL</t>
  </si>
  <si>
    <t>m3/HR</t>
  </si>
  <si>
    <t>CASE A +5%MW</t>
  </si>
  <si>
    <t>CASE A -5%MW</t>
  </si>
  <si>
    <t>kpa</t>
  </si>
  <si>
    <t>1BASIS</t>
  </si>
  <si>
    <t>G/MOL</t>
  </si>
  <si>
    <t>RHO1</t>
  </si>
  <si>
    <t>KG/M3</t>
  </si>
  <si>
    <t>RHO2</t>
  </si>
  <si>
    <t>RHOS</t>
  </si>
  <si>
    <t>N</t>
  </si>
  <si>
    <t>PD</t>
  </si>
  <si>
    <t>FME</t>
  </si>
  <si>
    <t>PEXP</t>
  </si>
  <si>
    <t>SIGMA</t>
  </si>
  <si>
    <t>H.RAW</t>
  </si>
  <si>
    <t>H.RED</t>
  </si>
  <si>
    <t>H.NOR</t>
  </si>
  <si>
    <t>F.RAW</t>
  </si>
  <si>
    <t>F.RED</t>
  </si>
  <si>
    <t>F.NOR</t>
  </si>
  <si>
    <t>ASP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</si>
</sst>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
    <numFmt numFmtId="165" formatCode="#0.000"/>
    <numFmt numFmtId="166" formatCode="_(* #,##0.000_);_(* \(#,##0.000\);_(* &quot;-&quot;??_);_(@_)"/>
  </numFmts>
  <fonts count="11">
    <font>
      <sz val="11"/>
      <color theme="1"/>
      <name val="Calibri"/>
      <family val="2"/>
      <charset val="134"/>
      <scheme val="minor"/>
    </font>
    <font>
      <b/>
      <sz val="11"/>
      <color theme="1"/>
      <name val="Calibri"/>
      <family val="2"/>
      <scheme val="minor"/>
    </font>
    <font>
      <sz val="9"/>
      <name val="Calibri"/>
      <family val="2"/>
      <charset val="134"/>
      <scheme val="minor"/>
    </font>
    <font>
      <sz val="12"/>
      <color theme="1"/>
      <name val="Courier New"/>
      <family val="3"/>
    </font>
    <font>
      <b/>
      <sz val="12"/>
      <color theme="1"/>
      <name val="Courier New"/>
      <family val="3"/>
    </font>
    <font>
      <b/>
      <sz val="14"/>
      <color theme="1"/>
      <name val="Courier New"/>
      <family val="3"/>
    </font>
    <font>
      <b/>
      <sz val="11"/>
      <color theme="1"/>
      <name val="Calibri"/>
      <family val="2"/>
      <charset val="134"/>
      <scheme val="minor"/>
    </font>
    <font>
      <sz val="11"/>
      <color theme="1"/>
      <name val="Calibri"/>
      <family val="2"/>
      <charset val="134"/>
      <scheme val="minor"/>
    </font>
    <font>
      <sz val="9"/>
      <color indexed="81"/>
      <name val="Tahoma"/>
      <family val="2"/>
    </font>
    <font>
      <sz val="11"/>
      <name val="Helv"/>
    </font>
    <font>
      <sz val="9"/>
      <color indexed="81"/>
      <name val="Tahoma"/>
      <charset val="1"/>
    </font>
  </fonts>
  <fills count="6">
    <fill>
      <patternFill patternType="none"/>
    </fill>
    <fill>
      <patternFill patternType="gray125"/>
    </fill>
    <fill>
      <patternFill patternType="solid">
        <fgColor theme="6" tint="-0.249977111117893"/>
        <bgColor indexed="64"/>
      </patternFill>
    </fill>
    <fill>
      <patternFill patternType="solid">
        <fgColor rgb="FFFFFF00"/>
        <bgColor indexed="64"/>
      </patternFill>
    </fill>
    <fill>
      <patternFill patternType="solid">
        <fgColor indexed="10"/>
        <bgColor indexed="64"/>
      </patternFill>
    </fill>
    <fill>
      <patternFill patternType="solid">
        <fgColor indexed="22"/>
        <bgColor indexed="64"/>
      </patternFill>
    </fill>
  </fills>
  <borders count="30">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style="medium">
        <color auto="1"/>
      </top>
      <bottom style="medium">
        <color indexed="64"/>
      </bottom>
      <diagonal/>
    </border>
    <border>
      <left style="medium">
        <color indexed="64"/>
      </left>
      <right style="thin">
        <color auto="1"/>
      </right>
      <top style="thin">
        <color auto="1"/>
      </top>
      <bottom style="thin">
        <color auto="1"/>
      </bottom>
      <diagonal/>
    </border>
    <border>
      <left/>
      <right style="medium">
        <color indexed="64"/>
      </right>
      <top style="medium">
        <color auto="1"/>
      </top>
      <bottom style="medium">
        <color indexed="64"/>
      </bottom>
      <diagonal/>
    </border>
    <border>
      <left style="thin">
        <color indexed="64"/>
      </left>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s>
  <cellStyleXfs count="3">
    <xf numFmtId="0" fontId="0" fillId="0" borderId="0"/>
    <xf numFmtId="0" fontId="7" fillId="0" borderId="0"/>
    <xf numFmtId="43" fontId="7" fillId="0" borderId="0" applyFont="0" applyFill="0" applyBorder="0" applyAlignment="0" applyProtection="0"/>
  </cellStyleXfs>
  <cellXfs count="126">
    <xf numFmtId="0" fontId="0" fillId="0" borderId="0" xfId="0"/>
    <xf numFmtId="0" fontId="0" fillId="0" borderId="0" xfId="0" applyAlignment="1">
      <alignment horizontal="left"/>
    </xf>
    <xf numFmtId="0" fontId="3" fillId="0" borderId="3" xfId="0" applyFont="1" applyFill="1" applyBorder="1" applyAlignment="1">
      <alignment horizontal="center" vertical="center"/>
    </xf>
    <xf numFmtId="0" fontId="0" fillId="0" borderId="0" xfId="0" applyAlignment="1">
      <alignment horizontal="center"/>
    </xf>
    <xf numFmtId="0" fontId="0" fillId="0" borderId="0" xfId="0"/>
    <xf numFmtId="0" fontId="0" fillId="0" borderId="0" xfId="0" applyAlignment="1"/>
    <xf numFmtId="165" fontId="5" fillId="2" borderId="3" xfId="0" applyNumberFormat="1" applyFont="1" applyFill="1" applyBorder="1" applyAlignment="1">
      <alignment horizontal="center"/>
    </xf>
    <xf numFmtId="164" fontId="4" fillId="0" borderId="1" xfId="0" applyNumberFormat="1" applyFont="1" applyFill="1" applyBorder="1" applyAlignment="1">
      <alignment horizontal="center"/>
    </xf>
    <xf numFmtId="164" fontId="4" fillId="0" borderId="3" xfId="0" applyNumberFormat="1" applyFont="1" applyFill="1" applyBorder="1" applyAlignment="1">
      <alignment horizontal="center"/>
    </xf>
    <xf numFmtId="0" fontId="0" fillId="0" borderId="4" xfId="0" applyBorder="1"/>
    <xf numFmtId="0" fontId="0" fillId="0" borderId="5" xfId="0" applyBorder="1"/>
    <xf numFmtId="0" fontId="0" fillId="0" borderId="0" xfId="0" applyFill="1"/>
    <xf numFmtId="165" fontId="5" fillId="2" borderId="9" xfId="0" applyNumberFormat="1" applyFont="1" applyFill="1" applyBorder="1" applyAlignment="1">
      <alignment horizontal="center"/>
    </xf>
    <xf numFmtId="165" fontId="3" fillId="0" borderId="9" xfId="0" applyNumberFormat="1" applyFont="1" applyFill="1" applyBorder="1" applyAlignment="1">
      <alignment horizontal="center"/>
    </xf>
    <xf numFmtId="0" fontId="3" fillId="0" borderId="9" xfId="0" applyFont="1" applyFill="1" applyBorder="1" applyAlignment="1">
      <alignment horizontal="center" vertical="center"/>
    </xf>
    <xf numFmtId="0" fontId="0" fillId="0" borderId="12" xfId="0" applyFill="1" applyBorder="1"/>
    <xf numFmtId="164" fontId="4" fillId="0" borderId="9" xfId="0" applyNumberFormat="1" applyFont="1" applyFill="1" applyBorder="1" applyAlignment="1">
      <alignment horizontal="center"/>
    </xf>
    <xf numFmtId="0" fontId="0" fillId="0" borderId="9" xfId="0" applyBorder="1"/>
    <xf numFmtId="165" fontId="5" fillId="2" borderId="13" xfId="0" applyNumberFormat="1" applyFont="1" applyFill="1" applyBorder="1" applyAlignment="1">
      <alignment horizontal="left"/>
    </xf>
    <xf numFmtId="165" fontId="5" fillId="2" borderId="11" xfId="0" applyNumberFormat="1" applyFont="1" applyFill="1" applyBorder="1" applyAlignment="1">
      <alignment horizontal="left"/>
    </xf>
    <xf numFmtId="0" fontId="0" fillId="0" borderId="3" xfId="0" applyBorder="1"/>
    <xf numFmtId="165" fontId="5" fillId="2" borderId="10" xfId="0" applyNumberFormat="1" applyFont="1" applyFill="1" applyBorder="1" applyAlignment="1">
      <alignment horizontal="left"/>
    </xf>
    <xf numFmtId="164" fontId="3" fillId="0" borderId="1" xfId="0" applyNumberFormat="1" applyFont="1" applyFill="1" applyBorder="1" applyAlignment="1">
      <alignment horizontal="center"/>
    </xf>
    <xf numFmtId="165" fontId="5" fillId="2"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0" fillId="0" borderId="1" xfId="0" applyBorder="1"/>
    <xf numFmtId="0" fontId="0" fillId="0" borderId="2" xfId="0" applyBorder="1"/>
    <xf numFmtId="164" fontId="3" fillId="0" borderId="3" xfId="0" applyNumberFormat="1" applyFont="1" applyFill="1" applyBorder="1" applyAlignment="1">
      <alignment horizontal="center"/>
    </xf>
    <xf numFmtId="165" fontId="3" fillId="0" borderId="3" xfId="0" applyNumberFormat="1" applyFont="1" applyFill="1" applyBorder="1" applyAlignment="1">
      <alignment horizontal="center"/>
    </xf>
    <xf numFmtId="165" fontId="5" fillId="0" borderId="1" xfId="0" applyNumberFormat="1" applyFont="1" applyFill="1" applyBorder="1" applyAlignment="1">
      <alignment horizontal="center"/>
    </xf>
    <xf numFmtId="0" fontId="3" fillId="0" borderId="1" xfId="0" applyFont="1" applyFill="1" applyBorder="1" applyAlignment="1">
      <alignment horizontal="center" vertical="center"/>
    </xf>
    <xf numFmtId="0" fontId="0" fillId="0" borderId="1" xfId="0" applyFill="1" applyBorder="1"/>
    <xf numFmtId="165" fontId="5" fillId="0" borderId="3" xfId="0" applyNumberFormat="1" applyFont="1" applyFill="1" applyBorder="1" applyAlignment="1">
      <alignment horizontal="center"/>
    </xf>
    <xf numFmtId="0" fontId="0" fillId="0" borderId="3" xfId="0" applyFill="1" applyBorder="1"/>
    <xf numFmtId="165" fontId="5" fillId="3" borderId="2" xfId="0" applyNumberFormat="1" applyFont="1" applyFill="1" applyBorder="1" applyAlignment="1">
      <alignment horizontal="center"/>
    </xf>
    <xf numFmtId="0" fontId="6" fillId="0" borderId="17" xfId="0" applyFont="1" applyFill="1" applyBorder="1" applyAlignment="1">
      <alignment horizontal="left"/>
    </xf>
    <xf numFmtId="164" fontId="4" fillId="0" borderId="18" xfId="0" applyNumberFormat="1" applyFont="1" applyFill="1" applyBorder="1" applyAlignment="1">
      <alignment horizontal="left"/>
    </xf>
    <xf numFmtId="164" fontId="4" fillId="0" borderId="18" xfId="0" applyNumberFormat="1" applyFont="1" applyFill="1" applyBorder="1" applyAlignment="1">
      <alignment horizontal="center"/>
    </xf>
    <xf numFmtId="165" fontId="4" fillId="0" borderId="18" xfId="0" applyNumberFormat="1" applyFont="1" applyFill="1" applyBorder="1" applyAlignment="1">
      <alignment horizontal="center"/>
    </xf>
    <xf numFmtId="165" fontId="4" fillId="0" borderId="19" xfId="0" applyNumberFormat="1" applyFont="1" applyFill="1" applyBorder="1" applyAlignment="1">
      <alignment horizontal="center"/>
    </xf>
    <xf numFmtId="165" fontId="4" fillId="0" borderId="8" xfId="0" applyNumberFormat="1" applyFont="1" applyFill="1" applyBorder="1" applyAlignment="1">
      <alignment horizontal="center"/>
    </xf>
    <xf numFmtId="165" fontId="4" fillId="0" borderId="14" xfId="0" applyNumberFormat="1" applyFont="1" applyFill="1" applyBorder="1" applyAlignment="1">
      <alignment horizontal="center"/>
    </xf>
    <xf numFmtId="164" fontId="4" fillId="0" borderId="21" xfId="0" applyNumberFormat="1" applyFont="1" applyFill="1" applyBorder="1" applyAlignment="1">
      <alignment horizontal="center" vertical="top"/>
    </xf>
    <xf numFmtId="165" fontId="4" fillId="0" borderId="21" xfId="0" applyNumberFormat="1" applyFont="1" applyFill="1" applyBorder="1" applyAlignment="1">
      <alignment horizontal="center" vertical="top"/>
    </xf>
    <xf numFmtId="165" fontId="4" fillId="0" borderId="21" xfId="0" applyNumberFormat="1" applyFont="1" applyFill="1" applyBorder="1" applyAlignment="1">
      <alignment horizontal="center" vertical="top" wrapText="1"/>
    </xf>
    <xf numFmtId="165" fontId="4" fillId="0" borderId="21" xfId="0" quotePrefix="1" applyNumberFormat="1" applyFont="1" applyFill="1" applyBorder="1" applyAlignment="1">
      <alignment horizontal="center" vertical="top"/>
    </xf>
    <xf numFmtId="0" fontId="6" fillId="0" borderId="22" xfId="0" quotePrefix="1" applyFont="1" applyBorder="1" applyAlignment="1">
      <alignment horizontal="center" vertical="top"/>
    </xf>
    <xf numFmtId="165" fontId="5" fillId="3" borderId="19" xfId="0" applyNumberFormat="1" applyFont="1" applyFill="1" applyBorder="1" applyAlignment="1">
      <alignment horizontal="center"/>
    </xf>
    <xf numFmtId="0" fontId="0" fillId="0" borderId="0" xfId="0" applyAlignment="1">
      <alignment horizontal="center" vertical="top"/>
    </xf>
    <xf numFmtId="0" fontId="6" fillId="0" borderId="20" xfId="0" applyFont="1" applyFill="1" applyBorder="1" applyAlignment="1">
      <alignment horizontal="center" vertical="top"/>
    </xf>
    <xf numFmtId="164" fontId="4" fillId="0" borderId="21" xfId="0" quotePrefix="1" applyNumberFormat="1" applyFont="1" applyFill="1" applyBorder="1" applyAlignment="1">
      <alignment horizontal="center" vertical="top"/>
    </xf>
    <xf numFmtId="0" fontId="0" fillId="0" borderId="0" xfId="0" applyBorder="1" applyAlignment="1">
      <alignment horizontal="center" vertical="top"/>
    </xf>
    <xf numFmtId="0" fontId="0" fillId="0" borderId="16" xfId="0" applyBorder="1" applyAlignment="1">
      <alignment horizontal="center" vertical="top"/>
    </xf>
    <xf numFmtId="0" fontId="3" fillId="0" borderId="24" xfId="0" applyFont="1" applyFill="1" applyBorder="1" applyAlignment="1">
      <alignment horizontal="center" vertical="center"/>
    </xf>
    <xf numFmtId="0" fontId="3" fillId="0" borderId="15" xfId="0" applyFont="1" applyFill="1" applyBorder="1" applyAlignment="1">
      <alignment horizontal="center" vertical="center"/>
    </xf>
    <xf numFmtId="0" fontId="3" fillId="0" borderId="7" xfId="0" applyFont="1" applyFill="1" applyBorder="1" applyAlignment="1">
      <alignment horizontal="center" vertical="center"/>
    </xf>
    <xf numFmtId="165" fontId="4" fillId="0" borderId="12" xfId="0" applyNumberFormat="1" applyFont="1" applyFill="1" applyBorder="1" applyAlignment="1">
      <alignment horizontal="center"/>
    </xf>
    <xf numFmtId="165" fontId="5" fillId="3" borderId="25" xfId="0" applyNumberFormat="1" applyFont="1" applyFill="1" applyBorder="1" applyAlignment="1">
      <alignment horizontal="center"/>
    </xf>
    <xf numFmtId="165" fontId="5" fillId="3" borderId="6" xfId="0" applyNumberFormat="1" applyFont="1" applyFill="1" applyBorder="1" applyAlignment="1">
      <alignment horizontal="center"/>
    </xf>
    <xf numFmtId="0" fontId="0" fillId="0" borderId="25" xfId="0" applyBorder="1"/>
    <xf numFmtId="0" fontId="0" fillId="0" borderId="26" xfId="0" applyBorder="1"/>
    <xf numFmtId="0" fontId="0" fillId="0" borderId="27" xfId="0" applyBorder="1"/>
    <xf numFmtId="165" fontId="4" fillId="0" borderId="17" xfId="0" applyNumberFormat="1" applyFont="1" applyFill="1" applyBorder="1" applyAlignment="1">
      <alignment horizontal="center"/>
    </xf>
    <xf numFmtId="165" fontId="4" fillId="0" borderId="20" xfId="0" applyNumberFormat="1" applyFont="1" applyFill="1" applyBorder="1" applyAlignment="1">
      <alignment horizontal="center" vertical="top" wrapText="1"/>
    </xf>
    <xf numFmtId="165" fontId="5" fillId="2" borderId="10" xfId="0" applyNumberFormat="1" applyFont="1" applyFill="1" applyBorder="1" applyAlignment="1">
      <alignment horizontal="center"/>
    </xf>
    <xf numFmtId="165" fontId="3" fillId="0" borderId="13" xfId="0" applyNumberFormat="1" applyFont="1" applyFill="1" applyBorder="1" applyAlignment="1">
      <alignment horizontal="center"/>
    </xf>
    <xf numFmtId="165" fontId="5" fillId="2" borderId="13" xfId="0" applyNumberFormat="1" applyFont="1" applyFill="1" applyBorder="1" applyAlignment="1">
      <alignment horizontal="center"/>
    </xf>
    <xf numFmtId="165" fontId="3" fillId="0" borderId="11" xfId="0" applyNumberFormat="1" applyFont="1" applyFill="1" applyBorder="1" applyAlignment="1">
      <alignment horizontal="center"/>
    </xf>
    <xf numFmtId="165" fontId="3" fillId="0" borderId="10" xfId="0" applyNumberFormat="1" applyFont="1" applyFill="1" applyBorder="1" applyAlignment="1">
      <alignment horizontal="center"/>
    </xf>
    <xf numFmtId="0" fontId="3" fillId="0" borderId="13" xfId="0" applyFont="1" applyFill="1" applyBorder="1" applyAlignment="1">
      <alignment horizontal="center" vertical="center"/>
    </xf>
    <xf numFmtId="0" fontId="3" fillId="0" borderId="11" xfId="0" applyFont="1" applyFill="1" applyBorder="1" applyAlignment="1">
      <alignment horizontal="center" vertical="center"/>
    </xf>
    <xf numFmtId="0" fontId="3" fillId="0" borderId="10" xfId="0" applyFont="1" applyFill="1" applyBorder="1" applyAlignment="1">
      <alignment horizontal="center" vertical="center"/>
    </xf>
    <xf numFmtId="165" fontId="4" fillId="0" borderId="23" xfId="0" applyNumberFormat="1" applyFont="1" applyFill="1" applyBorder="1" applyAlignment="1">
      <alignment horizontal="center" vertical="top"/>
    </xf>
    <xf numFmtId="165" fontId="5" fillId="2" borderId="24" xfId="0" applyNumberFormat="1" applyFont="1" applyFill="1" applyBorder="1" applyAlignment="1">
      <alignment horizontal="center"/>
    </xf>
    <xf numFmtId="165" fontId="5" fillId="2" borderId="15" xfId="0" applyNumberFormat="1" applyFont="1" applyFill="1" applyBorder="1" applyAlignment="1">
      <alignment horizontal="center"/>
    </xf>
    <xf numFmtId="165" fontId="5" fillId="2" borderId="7" xfId="0" applyNumberFormat="1" applyFont="1" applyFill="1" applyBorder="1" applyAlignment="1">
      <alignment horizontal="center"/>
    </xf>
    <xf numFmtId="165" fontId="5" fillId="0" borderId="24" xfId="0" applyNumberFormat="1" applyFont="1" applyFill="1" applyBorder="1" applyAlignment="1">
      <alignment horizontal="center"/>
    </xf>
    <xf numFmtId="165" fontId="5" fillId="0" borderId="7" xfId="0" applyNumberFormat="1" applyFont="1" applyFill="1" applyBorder="1" applyAlignment="1">
      <alignment horizontal="center"/>
    </xf>
    <xf numFmtId="165" fontId="4" fillId="0" borderId="22" xfId="0" applyNumberFormat="1" applyFont="1" applyFill="1" applyBorder="1" applyAlignment="1">
      <alignment horizontal="center" vertical="top" wrapText="1"/>
    </xf>
    <xf numFmtId="165" fontId="3" fillId="0" borderId="2" xfId="0" applyNumberFormat="1" applyFont="1" applyFill="1" applyBorder="1" applyAlignment="1">
      <alignment horizontal="center"/>
    </xf>
    <xf numFmtId="165" fontId="3" fillId="0" borderId="5" xfId="0" applyNumberFormat="1" applyFont="1" applyFill="1" applyBorder="1" applyAlignment="1">
      <alignment horizontal="center"/>
    </xf>
    <xf numFmtId="165" fontId="5" fillId="2" borderId="11" xfId="0" applyNumberFormat="1" applyFont="1" applyFill="1" applyBorder="1" applyAlignment="1">
      <alignment horizontal="center"/>
    </xf>
    <xf numFmtId="165" fontId="3" fillId="0" borderId="4" xfId="0" applyNumberFormat="1" applyFont="1" applyFill="1" applyBorder="1" applyAlignment="1">
      <alignment horizontal="center"/>
    </xf>
    <xf numFmtId="165" fontId="5" fillId="0" borderId="10" xfId="0" applyNumberFormat="1" applyFont="1" applyFill="1" applyBorder="1" applyAlignment="1">
      <alignment horizontal="center"/>
    </xf>
    <xf numFmtId="165" fontId="5" fillId="0" borderId="11" xfId="0" applyNumberFormat="1" applyFont="1" applyFill="1" applyBorder="1" applyAlignment="1">
      <alignment horizontal="center"/>
    </xf>
    <xf numFmtId="0" fontId="3" fillId="0" borderId="2" xfId="0" applyFont="1" applyFill="1" applyBorder="1" applyAlignment="1">
      <alignment horizontal="center" vertical="center"/>
    </xf>
    <xf numFmtId="0" fontId="3" fillId="0" borderId="5" xfId="0" applyFont="1" applyFill="1" applyBorder="1" applyAlignment="1">
      <alignment horizontal="center" vertical="center"/>
    </xf>
    <xf numFmtId="0" fontId="3" fillId="0" borderId="4" xfId="0" applyFont="1" applyFill="1" applyBorder="1" applyAlignment="1">
      <alignment horizontal="center" vertical="center"/>
    </xf>
    <xf numFmtId="166" fontId="0" fillId="0" borderId="12" xfId="0" applyNumberFormat="1" applyFill="1" applyBorder="1"/>
    <xf numFmtId="43" fontId="0" fillId="0" borderId="0" xfId="0" applyNumberFormat="1" applyFill="1"/>
    <xf numFmtId="166" fontId="0" fillId="0" borderId="0" xfId="0" applyNumberFormat="1" applyFill="1"/>
    <xf numFmtId="0" fontId="0" fillId="0" borderId="0" xfId="0" applyFill="1" applyBorder="1"/>
    <xf numFmtId="166" fontId="0" fillId="0" borderId="0" xfId="0" applyNumberFormat="1" applyFill="1" applyBorder="1"/>
    <xf numFmtId="165" fontId="5" fillId="2" borderId="20" xfId="0" applyNumberFormat="1" applyFont="1" applyFill="1" applyBorder="1" applyAlignment="1">
      <alignment horizontal="left"/>
    </xf>
    <xf numFmtId="164" fontId="4" fillId="0" borderId="21" xfId="0" applyNumberFormat="1" applyFont="1" applyFill="1" applyBorder="1" applyAlignment="1">
      <alignment horizontal="center"/>
    </xf>
    <xf numFmtId="165" fontId="5" fillId="2" borderId="21" xfId="0" applyNumberFormat="1" applyFont="1" applyFill="1" applyBorder="1" applyAlignment="1">
      <alignment horizontal="center"/>
    </xf>
    <xf numFmtId="165" fontId="5" fillId="2" borderId="23" xfId="0" applyNumberFormat="1" applyFont="1" applyFill="1" applyBorder="1" applyAlignment="1">
      <alignment horizontal="center"/>
    </xf>
    <xf numFmtId="165" fontId="5" fillId="2" borderId="20" xfId="0" applyNumberFormat="1" applyFont="1" applyFill="1" applyBorder="1" applyAlignment="1">
      <alignment horizontal="center"/>
    </xf>
    <xf numFmtId="0" fontId="3" fillId="0" borderId="21" xfId="0" applyFont="1" applyFill="1" applyBorder="1" applyAlignment="1">
      <alignment horizontal="center" vertical="center"/>
    </xf>
    <xf numFmtId="165" fontId="3" fillId="0" borderId="21" xfId="0" applyNumberFormat="1" applyFont="1" applyFill="1" applyBorder="1" applyAlignment="1">
      <alignment horizontal="center"/>
    </xf>
    <xf numFmtId="165" fontId="3" fillId="0" borderId="22" xfId="0" applyNumberFormat="1" applyFont="1" applyFill="1" applyBorder="1" applyAlignment="1">
      <alignment horizontal="center"/>
    </xf>
    <xf numFmtId="165" fontId="3" fillId="0" borderId="20" xfId="0" applyNumberFormat="1" applyFont="1" applyFill="1" applyBorder="1" applyAlignment="1">
      <alignment horizontal="center"/>
    </xf>
    <xf numFmtId="0" fontId="0" fillId="0" borderId="21" xfId="0" applyBorder="1"/>
    <xf numFmtId="0" fontId="0" fillId="0" borderId="22" xfId="0" applyBorder="1"/>
    <xf numFmtId="165" fontId="5" fillId="3" borderId="28" xfId="0" applyNumberFormat="1" applyFont="1" applyFill="1" applyBorder="1" applyAlignment="1">
      <alignment horizontal="center"/>
    </xf>
    <xf numFmtId="165" fontId="5" fillId="3" borderId="29" xfId="0" applyNumberFormat="1" applyFont="1" applyFill="1" applyBorder="1" applyAlignment="1">
      <alignment horizontal="center"/>
    </xf>
    <xf numFmtId="0" fontId="0" fillId="0" borderId="0" xfId="0" quotePrefix="1" applyAlignment="1">
      <alignment horizontal="center"/>
    </xf>
    <xf numFmtId="0" fontId="0" fillId="4" borderId="0" xfId="0" applyFill="1"/>
    <xf numFmtId="43" fontId="9" fillId="0" borderId="12" xfId="2" applyFont="1" applyFill="1" applyBorder="1"/>
    <xf numFmtId="43" fontId="9" fillId="0" borderId="0" xfId="2" applyFont="1" applyFill="1"/>
    <xf numFmtId="43" fontId="0" fillId="0" borderId="0" xfId="2" applyFont="1" applyFill="1"/>
    <xf numFmtId="0" fontId="0" fillId="5" borderId="0" xfId="0" applyFill="1"/>
    <xf numFmtId="43" fontId="0" fillId="0" borderId="0" xfId="2" applyFont="1"/>
    <xf numFmtId="43" fontId="1" fillId="0" borderId="12" xfId="2" applyFont="1" applyFill="1" applyBorder="1"/>
    <xf numFmtId="43" fontId="1" fillId="0" borderId="12" xfId="2" applyFont="1" applyFill="1" applyBorder="1" applyAlignment="1">
      <alignment horizontal="center"/>
    </xf>
    <xf numFmtId="0" fontId="1" fillId="5" borderId="12" xfId="0" applyFont="1" applyFill="1" applyBorder="1"/>
    <xf numFmtId="0" fontId="1" fillId="5" borderId="12" xfId="0" applyFont="1" applyFill="1" applyBorder="1" applyAlignment="1">
      <alignment horizontal="center"/>
    </xf>
    <xf numFmtId="0" fontId="0" fillId="4" borderId="0" xfId="0" applyFill="1" applyBorder="1"/>
    <xf numFmtId="43" fontId="0" fillId="5" borderId="0" xfId="0" applyNumberFormat="1" applyFill="1"/>
    <xf numFmtId="166" fontId="0" fillId="5" borderId="0" xfId="0" applyNumberFormat="1" applyFill="1"/>
    <xf numFmtId="43" fontId="9" fillId="5" borderId="12" xfId="2" applyFont="1" applyFill="1" applyBorder="1"/>
    <xf numFmtId="43" fontId="9" fillId="4" borderId="12" xfId="2" applyFont="1" applyFill="1" applyBorder="1"/>
    <xf numFmtId="43" fontId="9" fillId="4" borderId="0" xfId="2" applyFont="1" applyFill="1"/>
    <xf numFmtId="43" fontId="9" fillId="5" borderId="0" xfId="2" applyFont="1" applyFill="1"/>
    <xf numFmtId="43" fontId="0" fillId="5" borderId="0" xfId="2" applyFont="1" applyFill="1"/>
    <xf numFmtId="166" fontId="0" fillId="0" borderId="0" xfId="2" applyNumberFormat="1" applyFont="1"/>
  </cellXfs>
  <cellStyles count="3">
    <cellStyle name="Comma" xfId="2" builtinId="3"/>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US"/>
              <a:t>K-101: PGC</a:t>
            </a:r>
          </a:p>
        </c:rich>
      </c:tx>
      <c:overlay val="0"/>
    </c:title>
    <c:autoTitleDeleted val="0"/>
    <c:plotArea>
      <c:layout/>
      <c:scatterChart>
        <c:scatterStyle val="lineMarker"/>
        <c:varyColors val="0"/>
        <c:ser>
          <c:idx val="0"/>
          <c:order val="0"/>
          <c:tx>
            <c:v>HEAD</c:v>
          </c:tx>
          <c:spPr>
            <a:ln w="38100">
              <a:solidFill>
                <a:srgbClr val="000000"/>
              </a:solidFill>
              <a:prstDash val="solid"/>
            </a:ln>
          </c:spPr>
          <c:marker>
            <c:symbol val="circle"/>
            <c:size val="4"/>
            <c:spPr>
              <a:solidFill>
                <a:srgbClr val="7F7F7F"/>
              </a:solidFill>
              <a:ln>
                <a:solidFill>
                  <a:srgbClr val="000000"/>
                </a:solidFill>
                <a:prstDash val="solid"/>
              </a:ln>
            </c:spPr>
          </c:marker>
          <c:xVal>
            <c:numLit>
              <c:formatCode>General</c:formatCode>
              <c:ptCount val="20"/>
              <c:pt idx="0">
                <c:v>13091.28561321907</c:v>
              </c:pt>
              <c:pt idx="1">
                <c:v>13550.704747827476</c:v>
              </c:pt>
              <c:pt idx="2">
                <c:v>13747.248403113766</c:v>
              </c:pt>
              <c:pt idx="3">
                <c:v>13762.534640118018</c:v>
              </c:pt>
              <c:pt idx="4">
                <c:v>14133.838841676432</c:v>
              </c:pt>
              <c:pt idx="5">
                <c:v>14577.387551879148</c:v>
              </c:pt>
              <c:pt idx="6">
                <c:v>15412.040876019268</c:v>
              </c:pt>
              <c:pt idx="7">
                <c:v>15884.232471540892</c:v>
              </c:pt>
              <c:pt idx="8">
                <c:v>16539.062291929775</c:v>
              </c:pt>
              <c:pt idx="9">
                <c:v>16825.924860007839</c:v>
              </c:pt>
              <c:pt idx="10">
                <c:v>17375.078720006575</c:v>
              </c:pt>
              <c:pt idx="11">
                <c:v>17639.954598612399</c:v>
              </c:pt>
              <c:pt idx="12">
                <c:v>18412.719463497317</c:v>
              </c:pt>
              <c:pt idx="13">
                <c:v>18719.205417469082</c:v>
              </c:pt>
              <c:pt idx="14">
                <c:v>19283.441934014001</c:v>
              </c:pt>
              <c:pt idx="15">
                <c:v>19532.093335243564</c:v>
              </c:pt>
              <c:pt idx="16">
                <c:v>20024.687233194149</c:v>
              </c:pt>
              <c:pt idx="17">
                <c:v>20197.48278547962</c:v>
              </c:pt>
              <c:pt idx="18">
                <c:v>20451.931804102227</c:v>
              </c:pt>
              <c:pt idx="19">
                <c:v>20673.622071623075</c:v>
              </c:pt>
            </c:numLit>
          </c:xVal>
          <c:yVal>
            <c:numLit>
              <c:formatCode>General</c:formatCode>
              <c:ptCount val="20"/>
              <c:pt idx="0">
                <c:v>157.56978641556833</c:v>
              </c:pt>
              <c:pt idx="1">
                <c:v>156.51093409470329</c:v>
              </c:pt>
              <c:pt idx="2">
                <c:v>156.00433681266077</c:v>
              </c:pt>
              <c:pt idx="3">
                <c:v>155.96005060887035</c:v>
              </c:pt>
              <c:pt idx="4">
                <c:v>154.88771100909145</c:v>
              </c:pt>
              <c:pt idx="5">
                <c:v>153.43077069342922</c:v>
              </c:pt>
              <c:pt idx="6">
                <c:v>150.31496613243985</c:v>
              </c:pt>
              <c:pt idx="7">
                <c:v>148.15226621644874</c:v>
              </c:pt>
              <c:pt idx="8">
                <c:v>144.45827547837956</c:v>
              </c:pt>
              <c:pt idx="9">
                <c:v>142.6642828047336</c:v>
              </c:pt>
              <c:pt idx="10">
                <c:v>138.87190426584624</c:v>
              </c:pt>
              <c:pt idx="11">
                <c:v>136.87396960197495</c:v>
              </c:pt>
              <c:pt idx="12">
                <c:v>129.79854777266789</c:v>
              </c:pt>
              <c:pt idx="13">
                <c:v>126.34721352071071</c:v>
              </c:pt>
              <c:pt idx="14">
                <c:v>118.58453120116346</c:v>
              </c:pt>
              <c:pt idx="15">
                <c:v>114.72242336713055</c:v>
              </c:pt>
              <c:pt idx="16">
                <c:v>104.99480529101305</c:v>
              </c:pt>
              <c:pt idx="17">
                <c:v>100.24911710808315</c:v>
              </c:pt>
              <c:pt idx="18">
                <c:v>90.694768475058126</c:v>
              </c:pt>
              <c:pt idx="19">
                <c:v>75.743743442907544</c:v>
              </c:pt>
            </c:numLit>
          </c:yVal>
          <c:smooth val="0"/>
          <c:extLst>
            <c:ext xmlns:c16="http://schemas.microsoft.com/office/drawing/2014/chart" uri="{C3380CC4-5D6E-409C-BE32-E72D297353CC}">
              <c16:uniqueId val="{00000014-321F-4308-A873-86A7008301CE}"/>
            </c:ext>
          </c:extLst>
        </c:ser>
        <c:ser>
          <c:idx val="1"/>
          <c:order val="1"/>
          <c:tx>
            <c:v>HEAD</c:v>
          </c:tx>
          <c:spPr>
            <a:ln w="38100">
              <a:solidFill>
                <a:srgbClr val="000000"/>
              </a:solidFill>
              <a:prstDash val="solid"/>
            </a:ln>
          </c:spPr>
          <c:marker>
            <c:symbol val="circle"/>
            <c:size val="4"/>
            <c:spPr>
              <a:solidFill>
                <a:srgbClr val="7F7F7F"/>
              </a:solidFill>
              <a:ln>
                <a:solidFill>
                  <a:srgbClr val="000000"/>
                </a:solidFill>
                <a:prstDash val="solid"/>
              </a:ln>
            </c:spPr>
          </c:marker>
          <c:xVal>
            <c:numLit>
              <c:formatCode>General</c:formatCode>
              <c:ptCount val="21"/>
              <c:pt idx="0">
                <c:v>11648.006381349134</c:v>
              </c:pt>
              <c:pt idx="1">
                <c:v>12179.200904415837</c:v>
              </c:pt>
              <c:pt idx="2">
                <c:v>12464.673814584421</c:v>
              </c:pt>
              <c:pt idx="3">
                <c:v>12483.022609784082</c:v>
              </c:pt>
              <c:pt idx="4">
                <c:v>12936.175006813442</c:v>
              </c:pt>
              <c:pt idx="5">
                <c:v>13312.666084390672</c:v>
              </c:pt>
              <c:pt idx="6">
                <c:v>14088.458102173941</c:v>
              </c:pt>
              <c:pt idx="7">
                <c:v>14541.150230341565</c:v>
              </c:pt>
              <c:pt idx="8">
                <c:v>15204.211782296139</c:v>
              </c:pt>
              <c:pt idx="9">
                <c:v>15482.585930404844</c:v>
              </c:pt>
              <c:pt idx="10">
                <c:v>16025.800551822316</c:v>
              </c:pt>
              <c:pt idx="11">
                <c:v>16318.558101860328</c:v>
              </c:pt>
              <c:pt idx="12">
                <c:v>17043.304532612023</c:v>
              </c:pt>
              <c:pt idx="13">
                <c:v>17403.606538110056</c:v>
              </c:pt>
              <c:pt idx="14">
                <c:v>18045.593086991597</c:v>
              </c:pt>
              <c:pt idx="15">
                <c:v>18263.034718865634</c:v>
              </c:pt>
              <c:pt idx="16">
                <c:v>18784.537041863055</c:v>
              </c:pt>
              <c:pt idx="17">
                <c:v>18993.569915686116</c:v>
              </c:pt>
              <c:pt idx="18">
                <c:v>19285.91145348371</c:v>
              </c:pt>
              <c:pt idx="19">
                <c:v>19553.699417772452</c:v>
              </c:pt>
              <c:pt idx="20">
                <c:v>19669.996967279614</c:v>
              </c:pt>
            </c:numLit>
          </c:xVal>
          <c:yVal>
            <c:numLit>
              <c:formatCode>General</c:formatCode>
              <c:ptCount val="21"/>
              <c:pt idx="0">
                <c:v>144.0370449057701</c:v>
              </c:pt>
              <c:pt idx="1">
                <c:v>143.05442637974573</c:v>
              </c:pt>
              <c:pt idx="2">
                <c:v>142.39451084742194</c:v>
              </c:pt>
              <c:pt idx="3">
                <c:v>142.34909035732008</c:v>
              </c:pt>
              <c:pt idx="4">
                <c:v>141.10945024943564</c:v>
              </c:pt>
              <c:pt idx="5">
                <c:v>139.91051183475798</c:v>
              </c:pt>
              <c:pt idx="6">
                <c:v>137.12151379646474</c:v>
              </c:pt>
              <c:pt idx="7">
                <c:v>135.16938364408421</c:v>
              </c:pt>
              <c:pt idx="8">
                <c:v>131.62494615738277</c:v>
              </c:pt>
              <c:pt idx="9">
                <c:v>129.97654111811121</c:v>
              </c:pt>
              <c:pt idx="10">
                <c:v>126.55675096365123</c:v>
              </c:pt>
              <c:pt idx="11">
                <c:v>124.47016982867868</c:v>
              </c:pt>
              <c:pt idx="12">
                <c:v>118.51718327666842</c:v>
              </c:pt>
              <c:pt idx="13">
                <c:v>115.04166534295595</c:v>
              </c:pt>
              <c:pt idx="14">
                <c:v>106.80011430180161</c:v>
              </c:pt>
              <c:pt idx="15">
                <c:v>103.73291857157162</c:v>
              </c:pt>
              <c:pt idx="16">
                <c:v>95.122975481844009</c:v>
              </c:pt>
              <c:pt idx="17">
                <c:v>90.463982422893906</c:v>
              </c:pt>
              <c:pt idx="18">
                <c:v>81.807417307003192</c:v>
              </c:pt>
              <c:pt idx="19">
                <c:v>70.658422557623965</c:v>
              </c:pt>
              <c:pt idx="20">
                <c:v>64.645349819302254</c:v>
              </c:pt>
            </c:numLit>
          </c:yVal>
          <c:smooth val="0"/>
          <c:extLst>
            <c:ext xmlns:c16="http://schemas.microsoft.com/office/drawing/2014/chart" uri="{C3380CC4-5D6E-409C-BE32-E72D297353CC}">
              <c16:uniqueId val="{00000015-321F-4308-A873-86A7008301CE}"/>
            </c:ext>
          </c:extLst>
        </c:ser>
        <c:ser>
          <c:idx val="2"/>
          <c:order val="2"/>
          <c:tx>
            <c:v>HEAD</c:v>
          </c:tx>
          <c:spPr>
            <a:ln w="38100">
              <a:solidFill>
                <a:srgbClr val="000000"/>
              </a:solidFill>
              <a:prstDash val="solid"/>
            </a:ln>
          </c:spPr>
          <c:marker>
            <c:symbol val="circle"/>
            <c:size val="4"/>
            <c:spPr>
              <a:solidFill>
                <a:srgbClr val="7F7F7F"/>
              </a:solidFill>
              <a:ln>
                <a:solidFill>
                  <a:srgbClr val="000000"/>
                </a:solidFill>
                <a:prstDash val="solid"/>
              </a:ln>
            </c:spPr>
          </c:marker>
          <c:xVal>
            <c:numLit>
              <c:formatCode>General</c:formatCode>
              <c:ptCount val="22"/>
              <c:pt idx="0">
                <c:v>10544.352461496082</c:v>
              </c:pt>
              <c:pt idx="1">
                <c:v>10824.895184049516</c:v>
              </c:pt>
              <c:pt idx="2">
                <c:v>10908.743778804166</c:v>
              </c:pt>
              <c:pt idx="3">
                <c:v>11112.899572957658</c:v>
              </c:pt>
              <c:pt idx="4">
                <c:v>11280.348925387563</c:v>
              </c:pt>
              <c:pt idx="5">
                <c:v>11922.353176917633</c:v>
              </c:pt>
              <c:pt idx="6">
                <c:v>12754.873331910085</c:v>
              </c:pt>
              <c:pt idx="7">
                <c:v>13259.682057345244</c:v>
              </c:pt>
              <c:pt idx="8">
                <c:v>13942.00409089869</c:v>
              </c:pt>
              <c:pt idx="9">
                <c:v>14235.133396555799</c:v>
              </c:pt>
              <c:pt idx="10">
                <c:v>14764.858599794647</c:v>
              </c:pt>
              <c:pt idx="11">
                <c:v>15056.465477678315</c:v>
              </c:pt>
              <c:pt idx="12">
                <c:v>15809.421078859981</c:v>
              </c:pt>
              <c:pt idx="13">
                <c:v>16156.605421798482</c:v>
              </c:pt>
              <c:pt idx="14">
                <c:v>16838.776982839438</c:v>
              </c:pt>
              <c:pt idx="15">
                <c:v>17070.309922942062</c:v>
              </c:pt>
              <c:pt idx="16">
                <c:v>17505.467577742329</c:v>
              </c:pt>
              <c:pt idx="17">
                <c:v>17706.038585568826</c:v>
              </c:pt>
              <c:pt idx="18">
                <c:v>18060.065002163545</c:v>
              </c:pt>
              <c:pt idx="19">
                <c:v>18206.598675357174</c:v>
              </c:pt>
              <c:pt idx="20">
                <c:v>18446.549224835046</c:v>
              </c:pt>
              <c:pt idx="21">
                <c:v>18566.856424233883</c:v>
              </c:pt>
            </c:numLit>
          </c:xVal>
          <c:yVal>
            <c:numLit>
              <c:formatCode>General</c:formatCode>
              <c:ptCount val="22"/>
              <c:pt idx="0">
                <c:v>130.58380983163596</c:v>
              </c:pt>
              <c:pt idx="1">
                <c:v>130.15902829227537</c:v>
              </c:pt>
              <c:pt idx="2">
                <c:v>130.01733163781918</c:v>
              </c:pt>
              <c:pt idx="3">
                <c:v>129.64149328846977</c:v>
              </c:pt>
              <c:pt idx="4">
                <c:v>129.29475331843176</c:v>
              </c:pt>
              <c:pt idx="5">
                <c:v>127.61090364284843</c:v>
              </c:pt>
              <c:pt idx="6">
                <c:v>124.85150608083153</c:v>
              </c:pt>
              <c:pt idx="7">
                <c:v>122.79414394870629</c:v>
              </c:pt>
              <c:pt idx="8">
                <c:v>119.31710600414304</c:v>
              </c:pt>
              <c:pt idx="9">
                <c:v>117.64465458240051</c:v>
              </c:pt>
              <c:pt idx="10">
                <c:v>114.43908586425978</c:v>
              </c:pt>
              <c:pt idx="11">
                <c:v>112.49596353567011</c:v>
              </c:pt>
              <c:pt idx="12">
                <c:v>106.69611018950243</c:v>
              </c:pt>
              <c:pt idx="13">
                <c:v>103.66389737358007</c:v>
              </c:pt>
              <c:pt idx="14">
                <c:v>95.97464761003782</c:v>
              </c:pt>
              <c:pt idx="15">
                <c:v>92.770751652180167</c:v>
              </c:pt>
              <c:pt idx="16">
                <c:v>85.633299879887815</c:v>
              </c:pt>
              <c:pt idx="17">
                <c:v>81.796188213739512</c:v>
              </c:pt>
              <c:pt idx="18">
                <c:v>73.51862300359636</c:v>
              </c:pt>
              <c:pt idx="19">
                <c:v>69.269270885376599</c:v>
              </c:pt>
              <c:pt idx="20">
                <c:v>61.128107374404308</c:v>
              </c:pt>
              <c:pt idx="21">
                <c:v>56.538313329148053</c:v>
              </c:pt>
            </c:numLit>
          </c:yVal>
          <c:smooth val="0"/>
          <c:extLst>
            <c:ext xmlns:c16="http://schemas.microsoft.com/office/drawing/2014/chart" uri="{C3380CC4-5D6E-409C-BE32-E72D297353CC}">
              <c16:uniqueId val="{00000016-321F-4308-A873-86A7008301CE}"/>
            </c:ext>
          </c:extLst>
        </c:ser>
        <c:ser>
          <c:idx val="3"/>
          <c:order val="3"/>
          <c:tx>
            <c:v>HEAD</c:v>
          </c:tx>
          <c:spPr>
            <a:ln w="38100">
              <a:solidFill>
                <a:srgbClr val="000000"/>
              </a:solidFill>
              <a:prstDash val="solid"/>
            </a:ln>
          </c:spPr>
          <c:marker>
            <c:symbol val="circle"/>
            <c:size val="4"/>
            <c:spPr>
              <a:solidFill>
                <a:srgbClr val="7F7F7F"/>
              </a:solidFill>
              <a:ln>
                <a:solidFill>
                  <a:srgbClr val="000000"/>
                </a:solidFill>
                <a:prstDash val="solid"/>
              </a:ln>
            </c:spPr>
          </c:marker>
          <c:xVal>
            <c:numLit>
              <c:formatCode>General</c:formatCode>
              <c:ptCount val="21"/>
              <c:pt idx="0">
                <c:v>9705.5567176003242</c:v>
              </c:pt>
              <c:pt idx="1">
                <c:v>9912.8635831918655</c:v>
              </c:pt>
              <c:pt idx="2">
                <c:v>10534.766477317968</c:v>
              </c:pt>
              <c:pt idx="3">
                <c:v>11044.832889366055</c:v>
              </c:pt>
              <c:pt idx="4">
                <c:v>11172.052973015227</c:v>
              </c:pt>
              <c:pt idx="5">
                <c:v>11203.59909269279</c:v>
              </c:pt>
              <c:pt idx="6">
                <c:v>11805.710425764168</c:v>
              </c:pt>
              <c:pt idx="7">
                <c:v>12218.94335036204</c:v>
              </c:pt>
              <c:pt idx="8">
                <c:v>12810.247216506843</c:v>
              </c:pt>
              <c:pt idx="9">
                <c:v>13104.642261533731</c:v>
              </c:pt>
              <c:pt idx="10">
                <c:v>13638.837383525994</c:v>
              </c:pt>
              <c:pt idx="11">
                <c:v>13916.565384963415</c:v>
              </c:pt>
              <c:pt idx="12">
                <c:v>14668.299503396622</c:v>
              </c:pt>
              <c:pt idx="13">
                <c:v>15003.578815199791</c:v>
              </c:pt>
              <c:pt idx="14">
                <c:v>15583.24318993719</c:v>
              </c:pt>
              <c:pt idx="15">
                <c:v>15841.719561100002</c:v>
              </c:pt>
              <c:pt idx="16">
                <c:v>16256.271333013237</c:v>
              </c:pt>
              <c:pt idx="17">
                <c:v>16465.702516428188</c:v>
              </c:pt>
              <c:pt idx="18">
                <c:v>16829.199849985587</c:v>
              </c:pt>
              <c:pt idx="19">
                <c:v>17001.066013223324</c:v>
              </c:pt>
              <c:pt idx="20">
                <c:v>17297.355241642748</c:v>
              </c:pt>
            </c:numLit>
          </c:xVal>
          <c:yVal>
            <c:numLit>
              <c:formatCode>General</c:formatCode>
              <c:ptCount val="21"/>
              <c:pt idx="0">
                <c:v>117.46330202425968</c:v>
              </c:pt>
              <c:pt idx="1">
                <c:v>117.15535685699255</c:v>
              </c:pt>
              <c:pt idx="2">
                <c:v>115.89524516838121</c:v>
              </c:pt>
              <c:pt idx="3">
                <c:v>114.49513285855673</c:v>
              </c:pt>
              <c:pt idx="4">
                <c:v>114.10164464132866</c:v>
              </c:pt>
              <c:pt idx="5">
                <c:v>114.00033805506816</c:v>
              </c:pt>
              <c:pt idx="6">
                <c:v>111.88469542918355</c:v>
              </c:pt>
              <c:pt idx="7">
                <c:v>110.13388809561663</c:v>
              </c:pt>
              <c:pt idx="8">
                <c:v>107.19529048731708</c:v>
              </c:pt>
              <c:pt idx="9">
                <c:v>105.60761986784962</c:v>
              </c:pt>
              <c:pt idx="10">
                <c:v>102.54369293888311</c:v>
              </c:pt>
              <c:pt idx="11">
                <c:v>100.80644314768693</c:v>
              </c:pt>
              <c:pt idx="12">
                <c:v>95.370154352126434</c:v>
              </c:pt>
              <c:pt idx="13">
                <c:v>92.435496047340749</c:v>
              </c:pt>
              <c:pt idx="14">
                <c:v>86.283941675992139</c:v>
              </c:pt>
              <c:pt idx="15">
                <c:v>82.887635391202195</c:v>
              </c:pt>
              <c:pt idx="16">
                <c:v>76.539363311812892</c:v>
              </c:pt>
              <c:pt idx="17">
                <c:v>72.879507172020539</c:v>
              </c:pt>
              <c:pt idx="18">
                <c:v>65.581633502122031</c:v>
              </c:pt>
              <c:pt idx="19">
                <c:v>61.627957918012328</c:v>
              </c:pt>
              <c:pt idx="20">
                <c:v>53.702450371798108</c:v>
              </c:pt>
            </c:numLit>
          </c:yVal>
          <c:smooth val="0"/>
          <c:extLst>
            <c:ext xmlns:c16="http://schemas.microsoft.com/office/drawing/2014/chart" uri="{C3380CC4-5D6E-409C-BE32-E72D297353CC}">
              <c16:uniqueId val="{00000017-321F-4308-A873-86A7008301CE}"/>
            </c:ext>
          </c:extLst>
        </c:ser>
        <c:ser>
          <c:idx val="4"/>
          <c:order val="4"/>
          <c:tx>
            <c:v>HEAD</c:v>
          </c:tx>
          <c:spPr>
            <a:ln w="38100">
              <a:solidFill>
                <a:srgbClr val="000000"/>
              </a:solidFill>
              <a:prstDash val="solid"/>
            </a:ln>
          </c:spPr>
          <c:marker>
            <c:symbol val="circle"/>
            <c:size val="4"/>
            <c:spPr>
              <a:solidFill>
                <a:srgbClr val="7F7F7F"/>
              </a:solidFill>
              <a:ln>
                <a:solidFill>
                  <a:srgbClr val="000000"/>
                </a:solidFill>
                <a:prstDash val="solid"/>
              </a:ln>
            </c:spPr>
          </c:marker>
          <c:xVal>
            <c:numLit>
              <c:formatCode>General</c:formatCode>
              <c:ptCount val="21"/>
              <c:pt idx="0">
                <c:v>8913.0356969577369</c:v>
              </c:pt>
              <c:pt idx="1">
                <c:v>9066.4025924833204</c:v>
              </c:pt>
              <c:pt idx="2">
                <c:v>9526.4944277358027</c:v>
              </c:pt>
              <c:pt idx="3">
                <c:v>10446.678098240771</c:v>
              </c:pt>
              <c:pt idx="4">
                <c:v>11044.381471828579</c:v>
              </c:pt>
              <c:pt idx="5">
                <c:v>11085.982695870265</c:v>
              </c:pt>
              <c:pt idx="6">
                <c:v>11134.549912107863</c:v>
              </c:pt>
              <c:pt idx="7">
                <c:v>11334.740312990996</c:v>
              </c:pt>
              <c:pt idx="8">
                <c:v>11850.427315946845</c:v>
              </c:pt>
              <c:pt idx="9">
                <c:v>12115.586436929119</c:v>
              </c:pt>
              <c:pt idx="10">
                <c:v>12603.683862153492</c:v>
              </c:pt>
              <c:pt idx="11">
                <c:v>12827.967567683747</c:v>
              </c:pt>
              <c:pt idx="12">
                <c:v>13482.053876834436</c:v>
              </c:pt>
              <c:pt idx="13">
                <c:v>13806.454911116916</c:v>
              </c:pt>
              <c:pt idx="14">
                <c:v>14343.066444633303</c:v>
              </c:pt>
              <c:pt idx="15">
                <c:v>14633.009273555304</c:v>
              </c:pt>
              <c:pt idx="16">
                <c:v>15092.375300218124</c:v>
              </c:pt>
              <c:pt idx="17">
                <c:v>15294.40677654821</c:v>
              </c:pt>
              <c:pt idx="18">
                <c:v>15646.707184911418</c:v>
              </c:pt>
              <c:pt idx="19">
                <c:v>15828.522236622101</c:v>
              </c:pt>
              <c:pt idx="20">
                <c:v>16141.699791737592</c:v>
              </c:pt>
            </c:numLit>
          </c:xVal>
          <c:yVal>
            <c:numLit>
              <c:formatCode>General</c:formatCode>
              <c:ptCount val="21"/>
              <c:pt idx="0">
                <c:v>104.99433792578938</c:v>
              </c:pt>
              <c:pt idx="1">
                <c:v>104.76802956758222</c:v>
              </c:pt>
              <c:pt idx="2">
                <c:v>103.87514964072652</c:v>
              </c:pt>
              <c:pt idx="3">
                <c:v>101.36635510715016</c:v>
              </c:pt>
              <c:pt idx="4">
                <c:v>99.174796223367295</c:v>
              </c:pt>
              <c:pt idx="5">
                <c:v>99.002721255948785</c:v>
              </c:pt>
              <c:pt idx="6">
                <c:v>98.798423321519124</c:v>
              </c:pt>
              <c:pt idx="7">
                <c:v>97.922348870160178</c:v>
              </c:pt>
              <c:pt idx="8">
                <c:v>95.411025289839728</c:v>
              </c:pt>
              <c:pt idx="9">
                <c:v>94.012852189875574</c:v>
              </c:pt>
              <c:pt idx="10">
                <c:v>91.161410853891581</c:v>
              </c:pt>
              <c:pt idx="11">
                <c:v>89.718826872364886</c:v>
              </c:pt>
              <c:pt idx="12">
                <c:v>84.996132312248022</c:v>
              </c:pt>
              <c:pt idx="13">
                <c:v>82.184205529265412</c:v>
              </c:pt>
              <c:pt idx="14">
                <c:v>76.945127286174653</c:v>
              </c:pt>
              <c:pt idx="15">
                <c:v>73.64449931850119</c:v>
              </c:pt>
              <c:pt idx="16">
                <c:v>67.384863291507358</c:v>
              </c:pt>
              <c:pt idx="17">
                <c:v>64.171242611611291</c:v>
              </c:pt>
              <c:pt idx="18">
                <c:v>57.896846776322278</c:v>
              </c:pt>
              <c:pt idx="19">
                <c:v>54.265767615410191</c:v>
              </c:pt>
              <c:pt idx="20">
                <c:v>47.133791591741513</c:v>
              </c:pt>
            </c:numLit>
          </c:yVal>
          <c:smooth val="0"/>
          <c:extLst>
            <c:ext xmlns:c16="http://schemas.microsoft.com/office/drawing/2014/chart" uri="{C3380CC4-5D6E-409C-BE32-E72D297353CC}">
              <c16:uniqueId val="{00000018-321F-4308-A873-86A7008301CE}"/>
            </c:ext>
          </c:extLst>
        </c:ser>
        <c:ser>
          <c:idx val="5"/>
          <c:order val="5"/>
          <c:tx>
            <c:v>HEAD</c:v>
          </c:tx>
          <c:spPr>
            <a:ln w="38100">
              <a:solidFill>
                <a:srgbClr val="000000"/>
              </a:solidFill>
              <a:prstDash val="solid"/>
            </a:ln>
          </c:spPr>
          <c:marker>
            <c:symbol val="circle"/>
            <c:size val="4"/>
            <c:spPr>
              <a:solidFill>
                <a:srgbClr val="7F7F7F"/>
              </a:solidFill>
              <a:ln>
                <a:solidFill>
                  <a:srgbClr val="000000"/>
                </a:solidFill>
                <a:prstDash val="solid"/>
              </a:ln>
            </c:spPr>
          </c:marker>
          <c:xVal>
            <c:numLit>
              <c:formatCode>General</c:formatCode>
              <c:ptCount val="21"/>
              <c:pt idx="0">
                <c:v>8169.1465072198798</c:v>
              </c:pt>
              <c:pt idx="1">
                <c:v>8278.7205908159685</c:v>
              </c:pt>
              <c:pt idx="2">
                <c:v>8607.4490375312125</c:v>
              </c:pt>
              <c:pt idx="3">
                <c:v>9264.9023904319965</c:v>
              </c:pt>
              <c:pt idx="4">
                <c:v>10360.652077717128</c:v>
              </c:pt>
              <c:pt idx="5">
                <c:v>10805.572743180794</c:v>
              </c:pt>
              <c:pt idx="6">
                <c:v>10992.070145427229</c:v>
              </c:pt>
              <c:pt idx="7">
                <c:v>11040.628510340564</c:v>
              </c:pt>
              <c:pt idx="8">
                <c:v>11057.623052927805</c:v>
              </c:pt>
              <c:pt idx="9">
                <c:v>11490.691795201723</c:v>
              </c:pt>
              <c:pt idx="10">
                <c:v>11705.734718200167</c:v>
              </c:pt>
              <c:pt idx="11">
                <c:v>12342.065270876892</c:v>
              </c:pt>
              <c:pt idx="12">
                <c:v>12655.703094854123</c:v>
              </c:pt>
              <c:pt idx="13">
                <c:v>13187.773899022981</c:v>
              </c:pt>
              <c:pt idx="14">
                <c:v>13447.179659233534</c:v>
              </c:pt>
              <c:pt idx="15">
                <c:v>13919.858077589693</c:v>
              </c:pt>
              <c:pt idx="16">
                <c:v>14129.811489136227</c:v>
              </c:pt>
              <c:pt idx="17">
                <c:v>14469.888218690587</c:v>
              </c:pt>
              <c:pt idx="18">
                <c:v>14647.507742700045</c:v>
              </c:pt>
              <c:pt idx="19">
                <c:v>14948.86877992285</c:v>
              </c:pt>
              <c:pt idx="20">
                <c:v>15109.46720737227</c:v>
              </c:pt>
            </c:numLit>
          </c:xVal>
          <c:yVal>
            <c:numLit>
              <c:formatCode>General</c:formatCode>
              <c:ptCount val="21"/>
              <c:pt idx="0">
                <c:v>93.316414023500684</c:v>
              </c:pt>
              <c:pt idx="1">
                <c:v>93.149620825576349</c:v>
              </c:pt>
              <c:pt idx="2">
                <c:v>92.501198282459356</c:v>
              </c:pt>
              <c:pt idx="3">
                <c:v>90.810205421072993</c:v>
              </c:pt>
              <c:pt idx="4">
                <c:v>86.647370120082698</c:v>
              </c:pt>
              <c:pt idx="5">
                <c:v>84.501239850073418</c:v>
              </c:pt>
              <c:pt idx="6">
                <c:v>83.541675132641274</c:v>
              </c:pt>
              <c:pt idx="7">
                <c:v>83.286076671609152</c:v>
              </c:pt>
              <c:pt idx="8">
                <c:v>83.196147621548235</c:v>
              </c:pt>
              <c:pt idx="9">
                <c:v>80.760228244598309</c:v>
              </c:pt>
              <c:pt idx="10">
                <c:v>79.448412762077666</c:v>
              </c:pt>
              <c:pt idx="11">
                <c:v>75.128112793522789</c:v>
              </c:pt>
              <c:pt idx="12">
                <c:v>72.61027859600263</c:v>
              </c:pt>
              <c:pt idx="13">
                <c:v>67.661146663388607</c:v>
              </c:pt>
              <c:pt idx="14">
                <c:v>64.953848009190921</c:v>
              </c:pt>
              <c:pt idx="15">
                <c:v>59.245677933098222</c:v>
              </c:pt>
              <c:pt idx="16">
                <c:v>56.220207282292911</c:v>
              </c:pt>
              <c:pt idx="17">
                <c:v>50.705348199299536</c:v>
              </c:pt>
              <c:pt idx="18">
                <c:v>47.452877586643908</c:v>
              </c:pt>
              <c:pt idx="19">
                <c:v>41.43319280415993</c:v>
              </c:pt>
              <c:pt idx="20">
                <c:v>37.990750214779162</c:v>
              </c:pt>
            </c:numLit>
          </c:yVal>
          <c:smooth val="0"/>
          <c:extLst>
            <c:ext xmlns:c16="http://schemas.microsoft.com/office/drawing/2014/chart" uri="{C3380CC4-5D6E-409C-BE32-E72D297353CC}">
              <c16:uniqueId val="{00000019-321F-4308-A873-86A7008301CE}"/>
            </c:ext>
          </c:extLst>
        </c:ser>
        <c:ser>
          <c:idx val="6"/>
          <c:order val="6"/>
          <c:tx>
            <c:v>HEAD</c:v>
          </c:tx>
          <c:spPr>
            <a:ln w="38100">
              <a:solidFill>
                <a:srgbClr val="000000"/>
              </a:solidFill>
              <a:prstDash val="solid"/>
            </a:ln>
          </c:spPr>
          <c:marker>
            <c:symbol val="circle"/>
            <c:size val="4"/>
            <c:spPr>
              <a:solidFill>
                <a:srgbClr val="7F7F7F"/>
              </a:solidFill>
              <a:ln>
                <a:solidFill>
                  <a:srgbClr val="000000"/>
                </a:solidFill>
                <a:prstDash val="solid"/>
              </a:ln>
            </c:spPr>
          </c:marker>
          <c:xVal>
            <c:numLit>
              <c:formatCode>General</c:formatCode>
              <c:ptCount val="19"/>
              <c:pt idx="0">
                <c:v>7519.4876304661393</c:v>
              </c:pt>
              <c:pt idx="1">
                <c:v>7605.2189018917834</c:v>
              </c:pt>
              <c:pt idx="2">
                <c:v>7862.4100607714354</c:v>
              </c:pt>
              <c:pt idx="3">
                <c:v>8376.7932636631685</c:v>
              </c:pt>
              <c:pt idx="4">
                <c:v>9234.0997819926215</c:v>
              </c:pt>
              <c:pt idx="5">
                <c:v>10091.403644924798</c:v>
              </c:pt>
              <c:pt idx="6">
                <c:v>10890.324173010391</c:v>
              </c:pt>
              <c:pt idx="7">
                <c:v>10971.402303270354</c:v>
              </c:pt>
              <c:pt idx="8">
                <c:v>10997.611074416613</c:v>
              </c:pt>
              <c:pt idx="9">
                <c:v>11456.056563355956</c:v>
              </c:pt>
              <c:pt idx="10">
                <c:v>11659.681278053597</c:v>
              </c:pt>
              <c:pt idx="11">
                <c:v>12120.277638789139</c:v>
              </c:pt>
              <c:pt idx="12">
                <c:v>12346.490933008987</c:v>
              </c:pt>
              <c:pt idx="13">
                <c:v>12787.472759175087</c:v>
              </c:pt>
              <c:pt idx="14">
                <c:v>12978.634809308751</c:v>
              </c:pt>
              <c:pt idx="15">
                <c:v>13316.525261769859</c:v>
              </c:pt>
              <c:pt idx="16">
                <c:v>13485.178394299694</c:v>
              </c:pt>
              <c:pt idx="17">
                <c:v>13775.546086786375</c:v>
              </c:pt>
              <c:pt idx="18">
                <c:v>13921.327397417546</c:v>
              </c:pt>
            </c:numLit>
          </c:xVal>
          <c:yVal>
            <c:numLit>
              <c:formatCode>General</c:formatCode>
              <c:ptCount val="19"/>
              <c:pt idx="0">
                <c:v>81.453312989457075</c:v>
              </c:pt>
              <c:pt idx="1">
                <c:v>81.306629121875417</c:v>
              </c:pt>
              <c:pt idx="2">
                <c:v>80.793477995271786</c:v>
              </c:pt>
              <c:pt idx="3">
                <c:v>79.510345209959056</c:v>
              </c:pt>
              <c:pt idx="4">
                <c:v>76.562311099193451</c:v>
              </c:pt>
              <c:pt idx="5">
                <c:v>72.642702929361036</c:v>
              </c:pt>
              <c:pt idx="6">
                <c:v>68.091397457832414</c:v>
              </c:pt>
              <c:pt idx="7">
                <c:v>67.568216060419147</c:v>
              </c:pt>
              <c:pt idx="8">
                <c:v>67.396172097490521</c:v>
              </c:pt>
              <c:pt idx="9">
                <c:v>64.115761628824387</c:v>
              </c:pt>
              <c:pt idx="10">
                <c:v>62.473969204011588</c:v>
              </c:pt>
              <c:pt idx="11">
                <c:v>58.290047939175651</c:v>
              </c:pt>
              <c:pt idx="12">
                <c:v>56.032963233303938</c:v>
              </c:pt>
              <c:pt idx="13">
                <c:v>50.975966182408328</c:v>
              </c:pt>
              <c:pt idx="14">
                <c:v>48.455620849903433</c:v>
              </c:pt>
              <c:pt idx="15">
                <c:v>43.469647627177579</c:v>
              </c:pt>
              <c:pt idx="16">
                <c:v>40.667433346841086</c:v>
              </c:pt>
              <c:pt idx="17">
                <c:v>35.31703415375663</c:v>
              </c:pt>
              <c:pt idx="18">
                <c:v>32.53198737449631</c:v>
              </c:pt>
            </c:numLit>
          </c:yVal>
          <c:smooth val="0"/>
          <c:extLst>
            <c:ext xmlns:c16="http://schemas.microsoft.com/office/drawing/2014/chart" uri="{C3380CC4-5D6E-409C-BE32-E72D297353CC}">
              <c16:uniqueId val="{0000001A-321F-4308-A873-86A7008301CE}"/>
            </c:ext>
          </c:extLst>
        </c:ser>
        <c:ser>
          <c:idx val="7"/>
          <c:order val="7"/>
          <c:tx>
            <c:v>HEAD</c:v>
          </c:tx>
          <c:spPr>
            <a:ln w="38100">
              <a:solidFill>
                <a:srgbClr val="000000"/>
              </a:solidFill>
              <a:prstDash val="solid"/>
            </a:ln>
          </c:spPr>
          <c:marker>
            <c:symbol val="circle"/>
            <c:size val="4"/>
            <c:spPr>
              <a:solidFill>
                <a:srgbClr val="7F7F7F"/>
              </a:solidFill>
              <a:ln>
                <a:solidFill>
                  <a:srgbClr val="000000"/>
                </a:solidFill>
                <a:prstDash val="solid"/>
              </a:ln>
            </c:spPr>
          </c:marker>
          <c:xVal>
            <c:numLit>
              <c:formatCode>General</c:formatCode>
              <c:ptCount val="18"/>
              <c:pt idx="0">
                <c:v>6962.5322132609435</c:v>
              </c:pt>
              <c:pt idx="1">
                <c:v>7027.2893867101675</c:v>
              </c:pt>
              <c:pt idx="2">
                <c:v>7221.562677322695</c:v>
              </c:pt>
              <c:pt idx="3">
                <c:v>7610.1057180180405</c:v>
              </c:pt>
              <c:pt idx="4">
                <c:v>8257.6818781724196</c:v>
              </c:pt>
              <c:pt idx="5">
                <c:v>8905.2553829295193</c:v>
              </c:pt>
              <c:pt idx="6">
                <c:v>9552.8271174217625</c:v>
              </c:pt>
              <c:pt idx="7">
                <c:v>10600.59377587073</c:v>
              </c:pt>
              <c:pt idx="8">
                <c:v>10779.346269386004</c:v>
              </c:pt>
              <c:pt idx="9">
                <c:v>10874.099695634135</c:v>
              </c:pt>
              <c:pt idx="10">
                <c:v>11074.095367383459</c:v>
              </c:pt>
              <c:pt idx="11">
                <c:v>11287.208701692311</c:v>
              </c:pt>
              <c:pt idx="12">
                <c:v>11691.218546406897</c:v>
              </c:pt>
              <c:pt idx="13">
                <c:v>11855.968244936224</c:v>
              </c:pt>
              <c:pt idx="14">
                <c:v>12172.500451947846</c:v>
              </c:pt>
              <c:pt idx="15">
                <c:v>12338.170688200649</c:v>
              </c:pt>
              <c:pt idx="16">
                <c:v>12618.244290568082</c:v>
              </c:pt>
              <c:pt idx="17">
                <c:v>12766.946538206435</c:v>
              </c:pt>
            </c:numLit>
          </c:xVal>
          <c:yVal>
            <c:numLit>
              <c:formatCode>General</c:formatCode>
              <c:ptCount val="18"/>
              <c:pt idx="0">
                <c:v>70.335040228442082</c:v>
              </c:pt>
              <c:pt idx="1">
                <c:v>70.209490521136146</c:v>
              </c:pt>
              <c:pt idx="2">
                <c:v>69.804632247232874</c:v>
              </c:pt>
              <c:pt idx="3">
                <c:v>68.819836952864748</c:v>
              </c:pt>
              <c:pt idx="4">
                <c:v>66.723542002605939</c:v>
              </c:pt>
              <c:pt idx="5">
                <c:v>64.07898556842575</c:v>
              </c:pt>
              <c:pt idx="6">
                <c:v>60.835614308223583</c:v>
              </c:pt>
              <c:pt idx="7">
                <c:v>53.934774426730741</c:v>
              </c:pt>
              <c:pt idx="8">
                <c:v>52.483453515043514</c:v>
              </c:pt>
              <c:pt idx="9">
                <c:v>51.678837633543736</c:v>
              </c:pt>
              <c:pt idx="10">
                <c:v>49.89923182847398</c:v>
              </c:pt>
              <c:pt idx="11">
                <c:v>47.885689538417282</c:v>
              </c:pt>
              <c:pt idx="12">
                <c:v>43.397020077969003</c:v>
              </c:pt>
              <c:pt idx="13">
                <c:v>41.335503085173436</c:v>
              </c:pt>
              <c:pt idx="14">
                <c:v>37.038738870827807</c:v>
              </c:pt>
              <c:pt idx="15">
                <c:v>34.540251939302834</c:v>
              </c:pt>
              <c:pt idx="16">
                <c:v>29.990404739720322</c:v>
              </c:pt>
              <c:pt idx="17">
                <c:v>27.479710289565428</c:v>
              </c:pt>
            </c:numLit>
          </c:yVal>
          <c:smooth val="0"/>
          <c:extLst>
            <c:ext xmlns:c16="http://schemas.microsoft.com/office/drawing/2014/chart" uri="{C3380CC4-5D6E-409C-BE32-E72D297353CC}">
              <c16:uniqueId val="{0000001B-321F-4308-A873-86A7008301CE}"/>
            </c:ext>
          </c:extLst>
        </c:ser>
        <c:ser>
          <c:idx val="8"/>
          <c:order val="8"/>
          <c:spPr>
            <a:ln w="28575">
              <a:noFill/>
            </a:ln>
          </c:spPr>
          <c:marker>
            <c:symbol val="diamond"/>
            <c:size val="15"/>
            <c:spPr>
              <a:solidFill>
                <a:srgbClr val="007F00"/>
              </a:solidFill>
              <a:ln>
                <a:solidFill>
                  <a:srgbClr val="7FFF7F"/>
                </a:solidFill>
                <a:prstDash val="solid"/>
              </a:ln>
            </c:spPr>
          </c:marker>
          <c:xVal>
            <c:numLit>
              <c:formatCode>General</c:formatCode>
              <c:ptCount val="1"/>
              <c:pt idx="0">
                <c:v>12400</c:v>
              </c:pt>
            </c:numLit>
          </c:xVal>
          <c:yVal>
            <c:numLit>
              <c:formatCode>General</c:formatCode>
              <c:ptCount val="1"/>
              <c:pt idx="0">
                <c:v>116</c:v>
              </c:pt>
            </c:numLit>
          </c:yVal>
          <c:smooth val="0"/>
          <c:extLst>
            <c:ext xmlns:c16="http://schemas.microsoft.com/office/drawing/2014/chart" uri="{C3380CC4-5D6E-409C-BE32-E72D297353CC}">
              <c16:uniqueId val="{0000001C-321F-4308-A873-86A7008301CE}"/>
            </c:ext>
          </c:extLst>
        </c:ser>
        <c:ser>
          <c:idx val="9"/>
          <c:order val="9"/>
          <c:spPr>
            <a:ln w="28575">
              <a:noFill/>
            </a:ln>
          </c:spPr>
          <c:marker>
            <c:symbol val="diamond"/>
            <c:size val="15"/>
            <c:spPr>
              <a:solidFill>
                <a:srgbClr val="007F00"/>
              </a:solidFill>
              <a:ln>
                <a:solidFill>
                  <a:srgbClr val="7FFF7F"/>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D-321F-4308-A873-86A7008301CE}"/>
            </c:ext>
          </c:extLst>
        </c:ser>
        <c:ser>
          <c:idx val="10"/>
          <c:order val="10"/>
          <c:spPr>
            <a:ln w="3175">
              <a:solidFill>
                <a:srgbClr val="000000"/>
              </a:solidFill>
              <a:prstDash val="lgDashDot"/>
            </a:ln>
          </c:spPr>
          <c:marker>
            <c:symbol val="none"/>
          </c:marker>
          <c:dLbls>
            <c:dLbl>
              <c:idx val="0"/>
              <c:tx>
                <c:rich>
                  <a:bodyPr/>
                  <a:lstStyle/>
                  <a:p>
                    <a:r>
                      <a:rPr lang="en-US"/>
                      <a:t>10%</a:t>
                    </a:r>
                  </a:p>
                </c:rich>
              </c:tx>
              <c:dLblPos val="b"/>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321F-4308-A873-86A7008301CE}"/>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321F-4308-A873-86A7008301C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11"/>
              <c:pt idx="0">
                <c:v>#N/A</c:v>
              </c:pt>
              <c:pt idx="1">
                <c:v>1168.0816473273696</c:v>
              </c:pt>
              <c:pt idx="2">
                <c:v>1808.2859274460734</c:v>
              </c:pt>
              <c:pt idx="3">
                <c:v>2190.636435943929</c:v>
              </c:pt>
              <c:pt idx="4">
                <c:v>2473.6678196744301</c:v>
              </c:pt>
              <c:pt idx="5">
                <c:v>2719.922647472843</c:v>
              </c:pt>
              <c:pt idx="6">
                <c:v>2967.0483519697805</c:v>
              </c:pt>
              <c:pt idx="7">
                <c:v>3240.81322759868</c:v>
              </c:pt>
              <c:pt idx="8">
                <c:v>3558.6669299057203</c:v>
              </c:pt>
              <c:pt idx="9">
                <c:v>3931.252154011197</c:v>
              </c:pt>
              <c:pt idx="10">
                <c:v>4363.7618710730267</c:v>
              </c:pt>
            </c:numLit>
          </c:xVal>
          <c:yVal>
            <c:numLit>
              <c:formatCode>General</c:formatCode>
              <c:ptCount val="11"/>
              <c:pt idx="0">
                <c:v>24.731739260608887</c:v>
              </c:pt>
              <c:pt idx="1">
                <c:v>38.01554397610483</c:v>
              </c:pt>
              <c:pt idx="2">
                <c:v>51.299348691600777</c:v>
              </c:pt>
              <c:pt idx="3">
                <c:v>64.583153407096717</c:v>
              </c:pt>
              <c:pt idx="4">
                <c:v>77.866958122592663</c:v>
              </c:pt>
              <c:pt idx="5">
                <c:v>91.15076283808861</c:v>
              </c:pt>
              <c:pt idx="6">
                <c:v>104.43456755358456</c:v>
              </c:pt>
              <c:pt idx="7">
                <c:v>117.7183722690805</c:v>
              </c:pt>
              <c:pt idx="8">
                <c:v>131.00217698457644</c:v>
              </c:pt>
              <c:pt idx="9">
                <c:v>144.2859817000724</c:v>
              </c:pt>
              <c:pt idx="10">
                <c:v>157.56978641556833</c:v>
              </c:pt>
            </c:numLit>
          </c:yVal>
          <c:smooth val="0"/>
          <c:extLst>
            <c:ext xmlns:c16="http://schemas.microsoft.com/office/drawing/2014/chart" uri="{C3380CC4-5D6E-409C-BE32-E72D297353CC}">
              <c16:uniqueId val="{0000001E-321F-4308-A873-86A7008301CE}"/>
            </c:ext>
          </c:extLst>
        </c:ser>
        <c:ser>
          <c:idx val="11"/>
          <c:order val="11"/>
          <c:spPr>
            <a:ln w="3175">
              <a:solidFill>
                <a:srgbClr val="000000"/>
              </a:solidFill>
              <a:prstDash val="lgDashDot"/>
            </a:ln>
          </c:spPr>
          <c:marker>
            <c:symbol val="none"/>
          </c:marker>
          <c:dLbls>
            <c:dLbl>
              <c:idx val="0"/>
              <c:tx>
                <c:rich>
                  <a:bodyPr/>
                  <a:lstStyle/>
                  <a:p>
                    <a:r>
                      <a:rPr lang="en-US"/>
                      <a:t>20%</a:t>
                    </a:r>
                  </a:p>
                </c:rich>
              </c:tx>
              <c:dLblPos val="b"/>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321F-4308-A873-86A7008301CE}"/>
                </c:ext>
              </c:extLst>
            </c:dLbl>
            <c:dLbl>
              <c:idx val="10"/>
              <c:tx>
                <c:rich>
                  <a:bodyPr/>
                  <a:lstStyle/>
                  <a:p>
                    <a:r>
                      <a:rPr lang="en-US"/>
                      <a:t>20%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321F-4308-A873-86A7008301C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11"/>
              <c:pt idx="0">
                <c:v>#N/A</c:v>
              </c:pt>
              <c:pt idx="1">
                <c:v>2336.1632946547393</c:v>
              </c:pt>
              <c:pt idx="2">
                <c:v>3616.5718548921468</c:v>
              </c:pt>
              <c:pt idx="3">
                <c:v>4381.2728718878579</c:v>
              </c:pt>
              <c:pt idx="4">
                <c:v>4947.3356393488602</c:v>
              </c:pt>
              <c:pt idx="5">
                <c:v>5439.845294945686</c:v>
              </c:pt>
              <c:pt idx="6">
                <c:v>5934.0967039395609</c:v>
              </c:pt>
              <c:pt idx="7">
                <c:v>6481.62645519736</c:v>
              </c:pt>
              <c:pt idx="8">
                <c:v>7117.3338598114406</c:v>
              </c:pt>
              <c:pt idx="9">
                <c:v>7862.5043080223941</c:v>
              </c:pt>
              <c:pt idx="10">
                <c:v>8727.5237421460533</c:v>
              </c:pt>
            </c:numLit>
          </c:xVal>
          <c:yVal>
            <c:numLit>
              <c:formatCode>General</c:formatCode>
              <c:ptCount val="11"/>
              <c:pt idx="0">
                <c:v>24.731739260608887</c:v>
              </c:pt>
              <c:pt idx="1">
                <c:v>38.01554397610483</c:v>
              </c:pt>
              <c:pt idx="2">
                <c:v>51.299348691600777</c:v>
              </c:pt>
              <c:pt idx="3">
                <c:v>64.583153407096717</c:v>
              </c:pt>
              <c:pt idx="4">
                <c:v>77.866958122592663</c:v>
              </c:pt>
              <c:pt idx="5">
                <c:v>91.15076283808861</c:v>
              </c:pt>
              <c:pt idx="6">
                <c:v>104.43456755358456</c:v>
              </c:pt>
              <c:pt idx="7">
                <c:v>117.7183722690805</c:v>
              </c:pt>
              <c:pt idx="8">
                <c:v>131.00217698457644</c:v>
              </c:pt>
              <c:pt idx="9">
                <c:v>144.2859817000724</c:v>
              </c:pt>
              <c:pt idx="10">
                <c:v>157.56978641556833</c:v>
              </c:pt>
            </c:numLit>
          </c:yVal>
          <c:smooth val="0"/>
          <c:extLst>
            <c:ext xmlns:c16="http://schemas.microsoft.com/office/drawing/2014/chart" uri="{C3380CC4-5D6E-409C-BE32-E72D297353CC}">
              <c16:uniqueId val="{00000021-321F-4308-A873-86A7008301CE}"/>
            </c:ext>
          </c:extLst>
        </c:ser>
        <c:ser>
          <c:idx val="12"/>
          <c:order val="12"/>
          <c:spPr>
            <a:ln w="3175">
              <a:solidFill>
                <a:srgbClr val="000000"/>
              </a:solidFill>
              <a:prstDash val="lgDashDot"/>
            </a:ln>
          </c:spPr>
          <c:marker>
            <c:symbol val="none"/>
          </c:marker>
          <c:dLbls>
            <c:dLbl>
              <c:idx val="0"/>
              <c:tx>
                <c:rich>
                  <a:bodyPr/>
                  <a:lstStyle/>
                  <a:p>
                    <a:r>
                      <a:rPr lang="en-US"/>
                      <a:t>30%</a:t>
                    </a:r>
                  </a:p>
                </c:rich>
              </c:tx>
              <c:dLblPos val="b"/>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321F-4308-A873-86A7008301CE}"/>
                </c:ext>
              </c:extLst>
            </c:dLbl>
            <c:dLbl>
              <c:idx val="10"/>
              <c:tx>
                <c:rich>
                  <a:bodyPr/>
                  <a:lstStyle/>
                  <a:p>
                    <a:r>
                      <a:rPr lang="en-US"/>
                      <a:t>30%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321F-4308-A873-86A7008301C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11"/>
              <c:pt idx="0">
                <c:v>#N/A</c:v>
              </c:pt>
              <c:pt idx="1">
                <c:v>3504.2449419821087</c:v>
              </c:pt>
              <c:pt idx="2">
                <c:v>5424.8577823382202</c:v>
              </c:pt>
              <c:pt idx="3">
                <c:v>6571.9093078317865</c:v>
              </c:pt>
              <c:pt idx="4">
                <c:v>7421.0034590232899</c:v>
              </c:pt>
              <c:pt idx="5">
                <c:v>8159.7679424185271</c:v>
              </c:pt>
              <c:pt idx="6">
                <c:v>8901.1450559093428</c:v>
              </c:pt>
              <c:pt idx="7">
                <c:v>9722.4396827960391</c:v>
              </c:pt>
              <c:pt idx="8">
                <c:v>10676.00078971716</c:v>
              </c:pt>
              <c:pt idx="9">
                <c:v>11793.756462033591</c:v>
              </c:pt>
              <c:pt idx="10">
                <c:v>13091.285613219081</c:v>
              </c:pt>
            </c:numLit>
          </c:xVal>
          <c:yVal>
            <c:numLit>
              <c:formatCode>General</c:formatCode>
              <c:ptCount val="11"/>
              <c:pt idx="0">
                <c:v>24.731739260608887</c:v>
              </c:pt>
              <c:pt idx="1">
                <c:v>38.01554397610483</c:v>
              </c:pt>
              <c:pt idx="2">
                <c:v>51.299348691600777</c:v>
              </c:pt>
              <c:pt idx="3">
                <c:v>64.583153407096717</c:v>
              </c:pt>
              <c:pt idx="4">
                <c:v>77.866958122592663</c:v>
              </c:pt>
              <c:pt idx="5">
                <c:v>91.15076283808861</c:v>
              </c:pt>
              <c:pt idx="6">
                <c:v>104.43456755358456</c:v>
              </c:pt>
              <c:pt idx="7">
                <c:v>117.7183722690805</c:v>
              </c:pt>
              <c:pt idx="8">
                <c:v>131.00217698457644</c:v>
              </c:pt>
              <c:pt idx="9">
                <c:v>144.2859817000724</c:v>
              </c:pt>
              <c:pt idx="10">
                <c:v>157.56978641556833</c:v>
              </c:pt>
            </c:numLit>
          </c:yVal>
          <c:smooth val="0"/>
          <c:extLst>
            <c:ext xmlns:c16="http://schemas.microsoft.com/office/drawing/2014/chart" uri="{C3380CC4-5D6E-409C-BE32-E72D297353CC}">
              <c16:uniqueId val="{00000024-321F-4308-A873-86A7008301CE}"/>
            </c:ext>
          </c:extLst>
        </c:ser>
        <c:ser>
          <c:idx val="13"/>
          <c:order val="13"/>
          <c:spPr>
            <a:ln w="3175">
              <a:solidFill>
                <a:srgbClr val="000000"/>
              </a:solidFill>
              <a:prstDash val="lgDashDot"/>
            </a:ln>
          </c:spPr>
          <c:marker>
            <c:symbol val="none"/>
          </c:marker>
          <c:dLbls>
            <c:dLbl>
              <c:idx val="0"/>
              <c:tx>
                <c:rich>
                  <a:bodyPr/>
                  <a:lstStyle/>
                  <a:p>
                    <a:r>
                      <a:rPr lang="en-US"/>
                      <a:t>40%</a:t>
                    </a:r>
                  </a:p>
                </c:rich>
              </c:tx>
              <c:dLblPos val="b"/>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321F-4308-A873-86A7008301CE}"/>
                </c:ext>
              </c:extLst>
            </c:dLbl>
            <c:dLbl>
              <c:idx val="10"/>
              <c:tx>
                <c:rich>
                  <a:bodyPr/>
                  <a:lstStyle/>
                  <a:p>
                    <a:r>
                      <a:rPr lang="en-US"/>
                      <a:t>40%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321F-4308-A873-86A7008301C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11"/>
              <c:pt idx="0">
                <c:v>#N/A</c:v>
              </c:pt>
              <c:pt idx="1">
                <c:v>4672.3265893094785</c:v>
              </c:pt>
              <c:pt idx="2">
                <c:v>7233.1437097842936</c:v>
              </c:pt>
              <c:pt idx="3">
                <c:v>8762.5457437757159</c:v>
              </c:pt>
              <c:pt idx="4">
                <c:v>9894.6712786977205</c:v>
              </c:pt>
              <c:pt idx="5">
                <c:v>10879.690589891372</c:v>
              </c:pt>
              <c:pt idx="6">
                <c:v>11868.193407879122</c:v>
              </c:pt>
              <c:pt idx="7">
                <c:v>12963.25291039472</c:v>
              </c:pt>
              <c:pt idx="8">
                <c:v>14234.667719622881</c:v>
              </c:pt>
              <c:pt idx="9">
                <c:v>15725.008616044788</c:v>
              </c:pt>
              <c:pt idx="10">
                <c:v>17455.047484292107</c:v>
              </c:pt>
            </c:numLit>
          </c:xVal>
          <c:yVal>
            <c:numLit>
              <c:formatCode>General</c:formatCode>
              <c:ptCount val="11"/>
              <c:pt idx="0">
                <c:v>24.731739260608887</c:v>
              </c:pt>
              <c:pt idx="1">
                <c:v>38.01554397610483</c:v>
              </c:pt>
              <c:pt idx="2">
                <c:v>51.299348691600777</c:v>
              </c:pt>
              <c:pt idx="3">
                <c:v>64.583153407096717</c:v>
              </c:pt>
              <c:pt idx="4">
                <c:v>77.866958122592663</c:v>
              </c:pt>
              <c:pt idx="5">
                <c:v>91.15076283808861</c:v>
              </c:pt>
              <c:pt idx="6">
                <c:v>104.43456755358456</c:v>
              </c:pt>
              <c:pt idx="7">
                <c:v>117.7183722690805</c:v>
              </c:pt>
              <c:pt idx="8">
                <c:v>131.00217698457644</c:v>
              </c:pt>
              <c:pt idx="9">
                <c:v>144.2859817000724</c:v>
              </c:pt>
              <c:pt idx="10">
                <c:v>157.56978641556833</c:v>
              </c:pt>
            </c:numLit>
          </c:yVal>
          <c:smooth val="0"/>
          <c:extLst>
            <c:ext xmlns:c16="http://schemas.microsoft.com/office/drawing/2014/chart" uri="{C3380CC4-5D6E-409C-BE32-E72D297353CC}">
              <c16:uniqueId val="{00000027-321F-4308-A873-86A7008301CE}"/>
            </c:ext>
          </c:extLst>
        </c:ser>
        <c:ser>
          <c:idx val="14"/>
          <c:order val="14"/>
          <c:spPr>
            <a:ln w="3175">
              <a:solidFill>
                <a:srgbClr val="000000"/>
              </a:solidFill>
              <a:prstDash val="lgDashDot"/>
            </a:ln>
          </c:spPr>
          <c:marker>
            <c:symbol val="none"/>
          </c:marker>
          <c:dLbls>
            <c:dLbl>
              <c:idx val="0"/>
              <c:tx>
                <c:rich>
                  <a:bodyPr/>
                  <a:lstStyle/>
                  <a:p>
                    <a:r>
                      <a:rPr lang="en-US"/>
                      <a:t>50%</a:t>
                    </a:r>
                  </a:p>
                </c:rich>
              </c:tx>
              <c:dLblPos val="b"/>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321F-4308-A873-86A7008301CE}"/>
                </c:ext>
              </c:extLst>
            </c:dLbl>
            <c:dLbl>
              <c:idx val="10"/>
              <c:tx>
                <c:rich>
                  <a:bodyPr/>
                  <a:lstStyle/>
                  <a:p>
                    <a:r>
                      <a:rPr lang="en-US"/>
                      <a:t>50%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321F-4308-A873-86A7008301C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11"/>
              <c:pt idx="0">
                <c:v>#N/A</c:v>
              </c:pt>
              <c:pt idx="1">
                <c:v>5840.4082366368484</c:v>
              </c:pt>
              <c:pt idx="2">
                <c:v>9041.429637230367</c:v>
              </c:pt>
              <c:pt idx="3">
                <c:v>10953.182179719644</c:v>
              </c:pt>
              <c:pt idx="4">
                <c:v>12368.339098372151</c:v>
              </c:pt>
              <c:pt idx="5">
                <c:v>13599.613237364212</c:v>
              </c:pt>
              <c:pt idx="6">
                <c:v>14835.241759848903</c:v>
              </c:pt>
              <c:pt idx="7">
                <c:v>16204.066137993399</c:v>
              </c:pt>
              <c:pt idx="8">
                <c:v>17793.334649528599</c:v>
              </c:pt>
              <c:pt idx="9">
                <c:v>19656.260770055982</c:v>
              </c:pt>
              <c:pt idx="10">
                <c:v>21818.809355365134</c:v>
              </c:pt>
            </c:numLit>
          </c:xVal>
          <c:yVal>
            <c:numLit>
              <c:formatCode>General</c:formatCode>
              <c:ptCount val="11"/>
              <c:pt idx="0">
                <c:v>24.731739260608887</c:v>
              </c:pt>
              <c:pt idx="1">
                <c:v>38.01554397610483</c:v>
              </c:pt>
              <c:pt idx="2">
                <c:v>51.299348691600777</c:v>
              </c:pt>
              <c:pt idx="3">
                <c:v>64.583153407096717</c:v>
              </c:pt>
              <c:pt idx="4">
                <c:v>77.866958122592663</c:v>
              </c:pt>
              <c:pt idx="5">
                <c:v>91.15076283808861</c:v>
              </c:pt>
              <c:pt idx="6">
                <c:v>104.43456755358456</c:v>
              </c:pt>
              <c:pt idx="7">
                <c:v>117.7183722690805</c:v>
              </c:pt>
              <c:pt idx="8">
                <c:v>131.00217698457644</c:v>
              </c:pt>
              <c:pt idx="9">
                <c:v>144.2859817000724</c:v>
              </c:pt>
              <c:pt idx="10">
                <c:v>157.56978641556833</c:v>
              </c:pt>
            </c:numLit>
          </c:yVal>
          <c:smooth val="0"/>
          <c:extLst>
            <c:ext xmlns:c16="http://schemas.microsoft.com/office/drawing/2014/chart" uri="{C3380CC4-5D6E-409C-BE32-E72D297353CC}">
              <c16:uniqueId val="{0000002A-321F-4308-A873-86A7008301CE}"/>
            </c:ext>
          </c:extLst>
        </c:ser>
        <c:ser>
          <c:idx val="15"/>
          <c:order val="15"/>
          <c:spPr>
            <a:ln w="3175">
              <a:solidFill>
                <a:srgbClr val="000000"/>
              </a:solidFill>
              <a:prstDash val="lgDashDot"/>
            </a:ln>
          </c:spPr>
          <c:marker>
            <c:symbol val="none"/>
          </c:marker>
          <c:dLbls>
            <c:dLbl>
              <c:idx val="0"/>
              <c:tx>
                <c:rich>
                  <a:bodyPr/>
                  <a:lstStyle/>
                  <a:p>
                    <a:r>
                      <a:rPr lang="en-US"/>
                      <a:t>60%</a:t>
                    </a:r>
                  </a:p>
                </c:rich>
              </c:tx>
              <c:dLblPos val="b"/>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321F-4308-A873-86A7008301CE}"/>
                </c:ext>
              </c:extLst>
            </c:dLbl>
            <c:dLbl>
              <c:idx val="10"/>
              <c:tx>
                <c:rich>
                  <a:bodyPr/>
                  <a:lstStyle/>
                  <a:p>
                    <a:r>
                      <a:rPr lang="en-US"/>
                      <a:t>60%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321F-4308-A873-86A7008301C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11"/>
              <c:pt idx="0">
                <c:v>#N/A</c:v>
              </c:pt>
              <c:pt idx="1">
                <c:v>7008.4898839642174</c:v>
              </c:pt>
              <c:pt idx="2">
                <c:v>10849.71556467644</c:v>
              </c:pt>
              <c:pt idx="3">
                <c:v>13143.818615663573</c:v>
              </c:pt>
              <c:pt idx="4">
                <c:v>14842.00691804658</c:v>
              </c:pt>
              <c:pt idx="5">
                <c:v>16319.535884837054</c:v>
              </c:pt>
              <c:pt idx="6">
                <c:v>17802.290111818686</c:v>
              </c:pt>
              <c:pt idx="7">
                <c:v>19444.879365592078</c:v>
              </c:pt>
              <c:pt idx="8">
                <c:v>21352.00157943432</c:v>
              </c:pt>
              <c:pt idx="9">
                <c:v>23587.512924067181</c:v>
              </c:pt>
              <c:pt idx="10">
                <c:v>26182.571226438162</c:v>
              </c:pt>
            </c:numLit>
          </c:xVal>
          <c:yVal>
            <c:numLit>
              <c:formatCode>General</c:formatCode>
              <c:ptCount val="11"/>
              <c:pt idx="0">
                <c:v>24.731739260608887</c:v>
              </c:pt>
              <c:pt idx="1">
                <c:v>38.01554397610483</c:v>
              </c:pt>
              <c:pt idx="2">
                <c:v>51.299348691600777</c:v>
              </c:pt>
              <c:pt idx="3">
                <c:v>64.583153407096717</c:v>
              </c:pt>
              <c:pt idx="4">
                <c:v>77.866958122592663</c:v>
              </c:pt>
              <c:pt idx="5">
                <c:v>91.15076283808861</c:v>
              </c:pt>
              <c:pt idx="6">
                <c:v>104.43456755358456</c:v>
              </c:pt>
              <c:pt idx="7">
                <c:v>117.7183722690805</c:v>
              </c:pt>
              <c:pt idx="8">
                <c:v>131.00217698457644</c:v>
              </c:pt>
              <c:pt idx="9">
                <c:v>144.2859817000724</c:v>
              </c:pt>
              <c:pt idx="10">
                <c:v>157.56978641556833</c:v>
              </c:pt>
            </c:numLit>
          </c:yVal>
          <c:smooth val="0"/>
          <c:extLst>
            <c:ext xmlns:c16="http://schemas.microsoft.com/office/drawing/2014/chart" uri="{C3380CC4-5D6E-409C-BE32-E72D297353CC}">
              <c16:uniqueId val="{0000002D-321F-4308-A873-86A7008301CE}"/>
            </c:ext>
          </c:extLst>
        </c:ser>
        <c:ser>
          <c:idx val="16"/>
          <c:order val="16"/>
          <c:spPr>
            <a:ln w="3175">
              <a:solidFill>
                <a:srgbClr val="000000"/>
              </a:solidFill>
              <a:prstDash val="lgDashDot"/>
            </a:ln>
          </c:spPr>
          <c:marker>
            <c:symbol val="none"/>
          </c:marker>
          <c:dLbls>
            <c:dLbl>
              <c:idx val="0"/>
              <c:tx>
                <c:rich>
                  <a:bodyPr/>
                  <a:lstStyle/>
                  <a:p>
                    <a:r>
                      <a:rPr lang="en-US"/>
                      <a:t>70%</a:t>
                    </a:r>
                  </a:p>
                </c:rich>
              </c:tx>
              <c:dLblPos val="b"/>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321F-4308-A873-86A7008301CE}"/>
                </c:ext>
              </c:extLst>
            </c:dLbl>
            <c:dLbl>
              <c:idx val="10"/>
              <c:tx>
                <c:rich>
                  <a:bodyPr/>
                  <a:lstStyle/>
                  <a:p>
                    <a:r>
                      <a:rPr lang="en-US"/>
                      <a:t>70%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321F-4308-A873-86A7008301C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11"/>
              <c:pt idx="0">
                <c:v>#N/A</c:v>
              </c:pt>
              <c:pt idx="1">
                <c:v>8176.5715312915863</c:v>
              </c:pt>
              <c:pt idx="2">
                <c:v>12658.001492122514</c:v>
              </c:pt>
              <c:pt idx="3">
                <c:v>15334.455051607501</c:v>
              </c:pt>
              <c:pt idx="4">
                <c:v>17315.674737721009</c:v>
              </c:pt>
              <c:pt idx="5">
                <c:v>19039.458532309902</c:v>
              </c:pt>
              <c:pt idx="6">
                <c:v>20769.338463788463</c:v>
              </c:pt>
              <c:pt idx="7">
                <c:v>22685.692593190761</c:v>
              </c:pt>
              <c:pt idx="8">
                <c:v>24910.668509340041</c:v>
              </c:pt>
              <c:pt idx="9">
                <c:v>27518.765078078377</c:v>
              </c:pt>
              <c:pt idx="10">
                <c:v>30546.333097511186</c:v>
              </c:pt>
            </c:numLit>
          </c:xVal>
          <c:yVal>
            <c:numLit>
              <c:formatCode>General</c:formatCode>
              <c:ptCount val="11"/>
              <c:pt idx="0">
                <c:v>24.731739260608887</c:v>
              </c:pt>
              <c:pt idx="1">
                <c:v>38.01554397610483</c:v>
              </c:pt>
              <c:pt idx="2">
                <c:v>51.299348691600777</c:v>
              </c:pt>
              <c:pt idx="3">
                <c:v>64.583153407096717</c:v>
              </c:pt>
              <c:pt idx="4">
                <c:v>77.866958122592663</c:v>
              </c:pt>
              <c:pt idx="5">
                <c:v>91.15076283808861</c:v>
              </c:pt>
              <c:pt idx="6">
                <c:v>104.43456755358456</c:v>
              </c:pt>
              <c:pt idx="7">
                <c:v>117.7183722690805</c:v>
              </c:pt>
              <c:pt idx="8">
                <c:v>131.00217698457644</c:v>
              </c:pt>
              <c:pt idx="9">
                <c:v>144.2859817000724</c:v>
              </c:pt>
              <c:pt idx="10">
                <c:v>157.56978641556833</c:v>
              </c:pt>
            </c:numLit>
          </c:yVal>
          <c:smooth val="0"/>
          <c:extLst>
            <c:ext xmlns:c16="http://schemas.microsoft.com/office/drawing/2014/chart" uri="{C3380CC4-5D6E-409C-BE32-E72D297353CC}">
              <c16:uniqueId val="{00000030-321F-4308-A873-86A7008301CE}"/>
            </c:ext>
          </c:extLst>
        </c:ser>
        <c:ser>
          <c:idx val="17"/>
          <c:order val="17"/>
          <c:spPr>
            <a:ln w="3175">
              <a:solidFill>
                <a:srgbClr val="000000"/>
              </a:solidFill>
              <a:prstDash val="lgDashDot"/>
            </a:ln>
          </c:spPr>
          <c:marker>
            <c:symbol val="none"/>
          </c:marker>
          <c:dLbls>
            <c:dLbl>
              <c:idx val="0"/>
              <c:tx>
                <c:rich>
                  <a:bodyPr/>
                  <a:lstStyle/>
                  <a:p>
                    <a:r>
                      <a:rPr lang="en-US"/>
                      <a:t>80%</a:t>
                    </a:r>
                  </a:p>
                </c:rich>
              </c:tx>
              <c:dLblPos val="b"/>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4-321F-4308-A873-86A7008301CE}"/>
                </c:ext>
              </c:extLst>
            </c:dLbl>
            <c:dLbl>
              <c:idx val="10"/>
              <c:tx>
                <c:rich>
                  <a:bodyPr/>
                  <a:lstStyle/>
                  <a:p>
                    <a:r>
                      <a:rPr lang="en-US"/>
                      <a:t>80%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321F-4308-A873-86A7008301C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11"/>
              <c:pt idx="0">
                <c:v>#N/A</c:v>
              </c:pt>
              <c:pt idx="1">
                <c:v>9344.6531786189571</c:v>
              </c:pt>
              <c:pt idx="2">
                <c:v>14466.287419568587</c:v>
              </c:pt>
              <c:pt idx="3">
                <c:v>17525.091487551432</c:v>
              </c:pt>
              <c:pt idx="4">
                <c:v>19789.342557395441</c:v>
              </c:pt>
              <c:pt idx="5">
                <c:v>21759.381179782744</c:v>
              </c:pt>
              <c:pt idx="6">
                <c:v>23736.386815758244</c:v>
              </c:pt>
              <c:pt idx="7">
                <c:v>25926.50582078944</c:v>
              </c:pt>
              <c:pt idx="8">
                <c:v>28469.335439245762</c:v>
              </c:pt>
              <c:pt idx="9">
                <c:v>31450.017232089576</c:v>
              </c:pt>
              <c:pt idx="10">
                <c:v>34910.094968584213</c:v>
              </c:pt>
            </c:numLit>
          </c:xVal>
          <c:yVal>
            <c:numLit>
              <c:formatCode>General</c:formatCode>
              <c:ptCount val="11"/>
              <c:pt idx="0">
                <c:v>24.731739260608887</c:v>
              </c:pt>
              <c:pt idx="1">
                <c:v>38.01554397610483</c:v>
              </c:pt>
              <c:pt idx="2">
                <c:v>51.299348691600777</c:v>
              </c:pt>
              <c:pt idx="3">
                <c:v>64.583153407096717</c:v>
              </c:pt>
              <c:pt idx="4">
                <c:v>77.866958122592663</c:v>
              </c:pt>
              <c:pt idx="5">
                <c:v>91.15076283808861</c:v>
              </c:pt>
              <c:pt idx="6">
                <c:v>104.43456755358456</c:v>
              </c:pt>
              <c:pt idx="7">
                <c:v>117.7183722690805</c:v>
              </c:pt>
              <c:pt idx="8">
                <c:v>131.00217698457644</c:v>
              </c:pt>
              <c:pt idx="9">
                <c:v>144.2859817000724</c:v>
              </c:pt>
              <c:pt idx="10">
                <c:v>157.56978641556833</c:v>
              </c:pt>
            </c:numLit>
          </c:yVal>
          <c:smooth val="0"/>
          <c:extLst>
            <c:ext xmlns:c16="http://schemas.microsoft.com/office/drawing/2014/chart" uri="{C3380CC4-5D6E-409C-BE32-E72D297353CC}">
              <c16:uniqueId val="{00000033-321F-4308-A873-86A7008301CE}"/>
            </c:ext>
          </c:extLst>
        </c:ser>
        <c:ser>
          <c:idx val="18"/>
          <c:order val="18"/>
          <c:spPr>
            <a:ln w="3175">
              <a:solidFill>
                <a:srgbClr val="000000"/>
              </a:solidFill>
              <a:prstDash val="lgDashDot"/>
            </a:ln>
          </c:spPr>
          <c:marker>
            <c:symbol val="none"/>
          </c:marker>
          <c:dLbls>
            <c:dLbl>
              <c:idx val="0"/>
              <c:tx>
                <c:rich>
                  <a:bodyPr/>
                  <a:lstStyle/>
                  <a:p>
                    <a:r>
                      <a:rPr lang="en-US"/>
                      <a:t>90%</a:t>
                    </a:r>
                  </a:p>
                </c:rich>
              </c:tx>
              <c:dLblPos val="b"/>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321F-4308-A873-86A7008301CE}"/>
                </c:ext>
              </c:extLst>
            </c:dLbl>
            <c:dLbl>
              <c:idx val="10"/>
              <c:tx>
                <c:rich>
                  <a:bodyPr/>
                  <a:lstStyle/>
                  <a:p>
                    <a:r>
                      <a:rPr lang="en-US"/>
                      <a:t>90%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321F-4308-A873-86A7008301C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11"/>
              <c:pt idx="0">
                <c:v>#N/A</c:v>
              </c:pt>
              <c:pt idx="1">
                <c:v>10512.734825946327</c:v>
              </c:pt>
              <c:pt idx="2">
                <c:v>16274.573347014661</c:v>
              </c:pt>
              <c:pt idx="3">
                <c:v>19715.72792349536</c:v>
              </c:pt>
              <c:pt idx="4">
                <c:v>22263.01037706987</c:v>
              </c:pt>
              <c:pt idx="5">
                <c:v>24479.303827255582</c:v>
              </c:pt>
              <c:pt idx="6">
                <c:v>26703.435167728028</c:v>
              </c:pt>
              <c:pt idx="7">
                <c:v>29167.319048388123</c:v>
              </c:pt>
              <c:pt idx="8">
                <c:v>32028.00236915148</c:v>
              </c:pt>
              <c:pt idx="9">
                <c:v>35381.269386100772</c:v>
              </c:pt>
              <c:pt idx="10">
                <c:v>39273.856839657237</c:v>
              </c:pt>
            </c:numLit>
          </c:xVal>
          <c:yVal>
            <c:numLit>
              <c:formatCode>General</c:formatCode>
              <c:ptCount val="11"/>
              <c:pt idx="0">
                <c:v>24.731739260608887</c:v>
              </c:pt>
              <c:pt idx="1">
                <c:v>38.01554397610483</c:v>
              </c:pt>
              <c:pt idx="2">
                <c:v>51.299348691600777</c:v>
              </c:pt>
              <c:pt idx="3">
                <c:v>64.583153407096717</c:v>
              </c:pt>
              <c:pt idx="4">
                <c:v>77.866958122592663</c:v>
              </c:pt>
              <c:pt idx="5">
                <c:v>91.15076283808861</c:v>
              </c:pt>
              <c:pt idx="6">
                <c:v>104.43456755358456</c:v>
              </c:pt>
              <c:pt idx="7">
                <c:v>117.7183722690805</c:v>
              </c:pt>
              <c:pt idx="8">
                <c:v>131.00217698457644</c:v>
              </c:pt>
              <c:pt idx="9">
                <c:v>144.2859817000724</c:v>
              </c:pt>
              <c:pt idx="10">
                <c:v>157.56978641556833</c:v>
              </c:pt>
            </c:numLit>
          </c:yVal>
          <c:smooth val="0"/>
          <c:extLst>
            <c:ext xmlns:c16="http://schemas.microsoft.com/office/drawing/2014/chart" uri="{C3380CC4-5D6E-409C-BE32-E72D297353CC}">
              <c16:uniqueId val="{00000036-321F-4308-A873-86A7008301CE}"/>
            </c:ext>
          </c:extLst>
        </c:ser>
        <c:ser>
          <c:idx val="19"/>
          <c:order val="19"/>
          <c:spPr>
            <a:ln w="3175">
              <a:solidFill>
                <a:srgbClr val="000000"/>
              </a:solidFill>
              <a:prstDash val="lgDashDot"/>
            </a:ln>
          </c:spPr>
          <c:marker>
            <c:symbol val="none"/>
          </c:marker>
          <c:dLbls>
            <c:dLbl>
              <c:idx val="0"/>
              <c:tx>
                <c:rich>
                  <a:bodyPr/>
                  <a:lstStyle/>
                  <a:p>
                    <a:r>
                      <a:rPr lang="en-US"/>
                      <a:t>100%</a:t>
                    </a:r>
                  </a:p>
                </c:rich>
              </c:tx>
              <c:dLblPos val="b"/>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A-321F-4308-A873-86A7008301CE}"/>
                </c:ext>
              </c:extLst>
            </c:dLbl>
            <c:dLbl>
              <c:idx val="10"/>
              <c:tx>
                <c:rich>
                  <a:bodyPr/>
                  <a:lstStyle/>
                  <a:p>
                    <a:r>
                      <a:rPr lang="en-US"/>
                      <a:t>100%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B-321F-4308-A873-86A7008301C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11"/>
              <c:pt idx="0">
                <c:v>#N/A</c:v>
              </c:pt>
              <c:pt idx="1">
                <c:v>11680.816473273697</c:v>
              </c:pt>
              <c:pt idx="2">
                <c:v>18082.859274460734</c:v>
              </c:pt>
              <c:pt idx="3">
                <c:v>21906.364359439289</c:v>
              </c:pt>
              <c:pt idx="4">
                <c:v>24736.678196744302</c:v>
              </c:pt>
              <c:pt idx="5">
                <c:v>27199.226474728424</c:v>
              </c:pt>
              <c:pt idx="6">
                <c:v>29670.483519697806</c:v>
              </c:pt>
              <c:pt idx="7">
                <c:v>32408.132275986798</c:v>
              </c:pt>
              <c:pt idx="8">
                <c:v>35586.669299057197</c:v>
              </c:pt>
              <c:pt idx="9">
                <c:v>39312.521540111964</c:v>
              </c:pt>
              <c:pt idx="10">
                <c:v>43637.618710730269</c:v>
              </c:pt>
            </c:numLit>
          </c:xVal>
          <c:yVal>
            <c:numLit>
              <c:formatCode>General</c:formatCode>
              <c:ptCount val="11"/>
              <c:pt idx="0">
                <c:v>24.731739260608887</c:v>
              </c:pt>
              <c:pt idx="1">
                <c:v>38.01554397610483</c:v>
              </c:pt>
              <c:pt idx="2">
                <c:v>51.299348691600777</c:v>
              </c:pt>
              <c:pt idx="3">
                <c:v>64.583153407096717</c:v>
              </c:pt>
              <c:pt idx="4">
                <c:v>77.866958122592663</c:v>
              </c:pt>
              <c:pt idx="5">
                <c:v>91.15076283808861</c:v>
              </c:pt>
              <c:pt idx="6">
                <c:v>104.43456755358456</c:v>
              </c:pt>
              <c:pt idx="7">
                <c:v>117.7183722690805</c:v>
              </c:pt>
              <c:pt idx="8">
                <c:v>131.00217698457644</c:v>
              </c:pt>
              <c:pt idx="9">
                <c:v>144.2859817000724</c:v>
              </c:pt>
              <c:pt idx="10">
                <c:v>157.56978641556833</c:v>
              </c:pt>
            </c:numLit>
          </c:yVal>
          <c:smooth val="0"/>
          <c:extLst>
            <c:ext xmlns:c16="http://schemas.microsoft.com/office/drawing/2014/chart" uri="{C3380CC4-5D6E-409C-BE32-E72D297353CC}">
              <c16:uniqueId val="{00000039-321F-4308-A873-86A7008301CE}"/>
            </c:ext>
          </c:extLst>
        </c:ser>
        <c:ser>
          <c:idx val="20"/>
          <c:order val="20"/>
          <c:spPr>
            <a:ln>
              <a:solidFill>
                <a:srgbClr val="FF0000"/>
              </a:solidFill>
              <a:prstDash val="solid"/>
            </a:ln>
          </c:spPr>
          <c:marker>
            <c:symbol val="none"/>
          </c:marker>
          <c:dLbls>
            <c:dLbl>
              <c:idx val="10"/>
              <c:tx>
                <c:rich>
                  <a:bodyPr/>
                  <a:lstStyle/>
                  <a:p>
                    <a:r>
                      <a:rPr lang="en-US"/>
                      <a:t>SRL=30%</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321F-4308-A873-86A7008301CE}"/>
                </c:ext>
              </c:extLst>
            </c:dLbl>
            <c:spPr>
              <a:noFill/>
              <a:ln>
                <a:noFill/>
              </a:ln>
              <a:effectLst/>
            </c:spPr>
            <c:txPr>
              <a:bodyPr wrap="square" lIns="38100" tIns="19050" rIns="38100" bIns="19050" anchor="ctr">
                <a:spAutoFit/>
              </a:bodyPr>
              <a:lstStyle/>
              <a:p>
                <a:pPr>
                  <a:defRPr b="1">
                    <a:solidFill>
                      <a:srgbClr val="7F7F7F"/>
                    </a:solidFill>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11"/>
              <c:pt idx="0">
                <c:v>#N/A</c:v>
              </c:pt>
              <c:pt idx="1">
                <c:v>3504.2449419821087</c:v>
              </c:pt>
              <c:pt idx="2">
                <c:v>5424.8577823382202</c:v>
              </c:pt>
              <c:pt idx="3">
                <c:v>6571.9093078317865</c:v>
              </c:pt>
              <c:pt idx="4">
                <c:v>7421.0034590232899</c:v>
              </c:pt>
              <c:pt idx="5">
                <c:v>8159.7679424185271</c:v>
              </c:pt>
              <c:pt idx="6">
                <c:v>8901.1450559093428</c:v>
              </c:pt>
              <c:pt idx="7">
                <c:v>9722.4396827960391</c:v>
              </c:pt>
              <c:pt idx="8">
                <c:v>10676.00078971716</c:v>
              </c:pt>
              <c:pt idx="9">
                <c:v>11793.756462033591</c:v>
              </c:pt>
              <c:pt idx="10">
                <c:v>13091.285613219081</c:v>
              </c:pt>
            </c:numLit>
          </c:xVal>
          <c:yVal>
            <c:numLit>
              <c:formatCode>General</c:formatCode>
              <c:ptCount val="11"/>
              <c:pt idx="0">
                <c:v>24.731739260608887</c:v>
              </c:pt>
              <c:pt idx="1">
                <c:v>38.01554397610483</c:v>
              </c:pt>
              <c:pt idx="2">
                <c:v>51.299348691600777</c:v>
              </c:pt>
              <c:pt idx="3">
                <c:v>64.583153407096717</c:v>
              </c:pt>
              <c:pt idx="4">
                <c:v>77.866958122592663</c:v>
              </c:pt>
              <c:pt idx="5">
                <c:v>91.15076283808861</c:v>
              </c:pt>
              <c:pt idx="6">
                <c:v>104.43456755358456</c:v>
              </c:pt>
              <c:pt idx="7">
                <c:v>117.7183722690805</c:v>
              </c:pt>
              <c:pt idx="8">
                <c:v>131.00217698457644</c:v>
              </c:pt>
              <c:pt idx="9">
                <c:v>144.2859817000724</c:v>
              </c:pt>
              <c:pt idx="10">
                <c:v>157.56978641556833</c:v>
              </c:pt>
            </c:numLit>
          </c:yVal>
          <c:smooth val="0"/>
          <c:extLst>
            <c:ext xmlns:c16="http://schemas.microsoft.com/office/drawing/2014/chart" uri="{C3380CC4-5D6E-409C-BE32-E72D297353CC}">
              <c16:uniqueId val="{0000003C-321F-4308-A873-86A7008301CE}"/>
            </c:ext>
          </c:extLst>
        </c:ser>
        <c:dLbls>
          <c:showLegendKey val="0"/>
          <c:showVal val="0"/>
          <c:showCatName val="0"/>
          <c:showSerName val="0"/>
          <c:showPercent val="0"/>
          <c:showBubbleSize val="0"/>
        </c:dLbls>
        <c:axId val="1158446495"/>
        <c:axId val="1158456063"/>
      </c:scatterChart>
      <c:valAx>
        <c:axId val="1158446495"/>
        <c:scaling>
          <c:orientation val="minMax"/>
          <c:max val="24000"/>
          <c:min val="4000"/>
        </c:scaling>
        <c:delete val="0"/>
        <c:axPos val="b"/>
        <c:majorGridlines/>
        <c:title>
          <c:tx>
            <c:rich>
              <a:bodyPr/>
              <a:lstStyle/>
              <a:p>
                <a:pPr>
                  <a:defRPr/>
                </a:pPr>
                <a:r>
                  <a:rPr lang="en-US"/>
                  <a:t>FV1   (M3/HR)</a:t>
                </a:r>
              </a:p>
            </c:rich>
          </c:tx>
          <c:overlay val="0"/>
        </c:title>
        <c:numFmt formatCode="General" sourceLinked="1"/>
        <c:majorTickMark val="out"/>
        <c:minorTickMark val="none"/>
        <c:tickLblPos val="nextTo"/>
        <c:crossAx val="1158456063"/>
        <c:crosses val="autoZero"/>
        <c:crossBetween val="midCat"/>
      </c:valAx>
      <c:valAx>
        <c:axId val="1158456063"/>
        <c:scaling>
          <c:orientation val="minMax"/>
          <c:max val="180"/>
          <c:min val="0"/>
        </c:scaling>
        <c:delete val="0"/>
        <c:axPos val="l"/>
        <c:majorGridlines>
          <c:spPr>
            <a:ln>
              <a:solidFill>
                <a:srgbClr val="000000"/>
              </a:solidFill>
              <a:prstDash val="lgDashDot"/>
            </a:ln>
          </c:spPr>
        </c:majorGridlines>
        <c:title>
          <c:tx>
            <c:rich>
              <a:bodyPr/>
              <a:lstStyle/>
              <a:p>
                <a:pPr algn="r">
                  <a:defRPr/>
                </a:pPr>
                <a:r>
                  <a:rPr lang="en-US"/>
                  <a:t>HEAD   (KJ/KG)</a:t>
                </a:r>
              </a:p>
            </c:rich>
          </c:tx>
          <c:overlay val="0"/>
        </c:title>
        <c:numFmt formatCode="General" sourceLinked="1"/>
        <c:majorTickMark val="out"/>
        <c:minorTickMark val="none"/>
        <c:tickLblPos val="nextTo"/>
        <c:crossAx val="1158446495"/>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US"/>
              <a:t>Performance Map</a:t>
            </a:r>
          </a:p>
        </c:rich>
      </c:tx>
      <c:overlay val="0"/>
    </c:title>
    <c:autoTitleDeleted val="0"/>
    <c:plotArea>
      <c:layout/>
      <c:scatterChart>
        <c:scatterStyle val="lineMarker"/>
        <c:varyColors val="0"/>
        <c:ser>
          <c:idx val="0"/>
          <c:order val="0"/>
          <c:spPr>
            <a:ln w="28575">
              <a:noFill/>
            </a:ln>
          </c:spPr>
          <c:marker>
            <c:symbol val="diamond"/>
            <c:size val="15"/>
            <c:spPr>
              <a:solidFill>
                <a:srgbClr val="007F00"/>
              </a:solidFill>
              <a:ln>
                <a:solidFill>
                  <a:srgbClr val="7FFF7F"/>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5-CE8F-4B2F-BA98-19B5AD3E80BE}"/>
            </c:ext>
          </c:extLst>
        </c:ser>
        <c:ser>
          <c:idx val="1"/>
          <c:order val="1"/>
          <c:spPr>
            <a:ln w="25400">
              <a:solidFill>
                <a:srgbClr val="000000"/>
              </a:solidFill>
              <a:prstDash val="solid"/>
            </a:ln>
          </c:spPr>
          <c:marker>
            <c:symbol val="circle"/>
            <c:size val="8"/>
            <c:spPr>
              <a:solidFill>
                <a:srgbClr val="FF0000"/>
              </a:solidFill>
              <a:ln>
                <a:solidFill>
                  <a:srgbClr val="00000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6-CE8F-4B2F-BA98-19B5AD3E80BE}"/>
            </c:ext>
          </c:extLst>
        </c:ser>
        <c:ser>
          <c:idx val="2"/>
          <c:order val="2"/>
          <c:spPr>
            <a:ln w="25400">
              <a:solidFill>
                <a:srgbClr val="000000"/>
              </a:solidFill>
              <a:prstDash val="solid"/>
            </a:ln>
          </c:spPr>
          <c:marker>
            <c:symbol val="circle"/>
            <c:size val="8"/>
            <c:spPr>
              <a:solidFill>
                <a:srgbClr val="FF0000"/>
              </a:solidFill>
              <a:ln>
                <a:solidFill>
                  <a:srgbClr val="000000"/>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7-CE8F-4B2F-BA98-19B5AD3E80BE}"/>
            </c:ext>
          </c:extLst>
        </c:ser>
        <c:ser>
          <c:idx val="3"/>
          <c:order val="3"/>
          <c:tx>
            <c:v>HEAD</c:v>
          </c:tx>
          <c:spPr>
            <a:ln w="38100">
              <a:solidFill>
                <a:srgbClr val="000000"/>
              </a:solidFill>
              <a:prstDash val="solid"/>
            </a:ln>
          </c:spPr>
          <c:marker>
            <c:symbol val="circle"/>
            <c:size val="4"/>
            <c:spPr>
              <a:solidFill>
                <a:srgbClr val="7F7F7F"/>
              </a:solidFill>
              <a:ln>
                <a:solidFill>
                  <a:srgbClr val="000000"/>
                </a:solidFill>
                <a:prstDash val="solid"/>
              </a:ln>
            </c:spPr>
          </c:marker>
          <c:xVal>
            <c:numLit>
              <c:formatCode>General</c:formatCode>
              <c:ptCount val="5"/>
              <c:pt idx="0">
                <c:v>448.8</c:v>
              </c:pt>
              <c:pt idx="1">
                <c:v>562.70000000000005</c:v>
              </c:pt>
              <c:pt idx="2">
                <c:v>668.47</c:v>
              </c:pt>
              <c:pt idx="3">
                <c:v>787.8</c:v>
              </c:pt>
              <c:pt idx="4">
                <c:v>855.6</c:v>
              </c:pt>
            </c:numLit>
          </c:xVal>
          <c:yVal>
            <c:numLit>
              <c:formatCode>General</c:formatCode>
              <c:ptCount val="5"/>
              <c:pt idx="0">
                <c:v>45.588220909939373</c:v>
              </c:pt>
              <c:pt idx="1">
                <c:v>43.770700685369974</c:v>
              </c:pt>
              <c:pt idx="2">
                <c:v>38.679597381790906</c:v>
              </c:pt>
              <c:pt idx="3">
                <c:v>29.190163685950729</c:v>
              </c:pt>
              <c:pt idx="4">
                <c:v>21.831339275961824</c:v>
              </c:pt>
            </c:numLit>
          </c:yVal>
          <c:smooth val="0"/>
          <c:extLst>
            <c:ext xmlns:c16="http://schemas.microsoft.com/office/drawing/2014/chart" uri="{C3380CC4-5D6E-409C-BE32-E72D297353CC}">
              <c16:uniqueId val="{00000018-CE8F-4B2F-BA98-19B5AD3E80BE}"/>
            </c:ext>
          </c:extLst>
        </c:ser>
        <c:ser>
          <c:idx val="4"/>
          <c:order val="4"/>
          <c:tx>
            <c:v>HEAD</c:v>
          </c:tx>
          <c:spPr>
            <a:ln w="38100">
              <a:solidFill>
                <a:srgbClr val="000000"/>
              </a:solidFill>
              <a:prstDash val="solid"/>
            </a:ln>
          </c:spPr>
          <c:marker>
            <c:symbol val="circle"/>
            <c:size val="4"/>
            <c:spPr>
              <a:solidFill>
                <a:srgbClr val="7F7F7F"/>
              </a:solidFill>
              <a:ln>
                <a:solidFill>
                  <a:srgbClr val="000000"/>
                </a:solidFill>
                <a:prstDash val="solid"/>
              </a:ln>
            </c:spPr>
          </c:marker>
          <c:xVal>
            <c:numLit>
              <c:formatCode>General</c:formatCode>
              <c:ptCount val="5"/>
              <c:pt idx="0">
                <c:v>524.79999999999995</c:v>
              </c:pt>
              <c:pt idx="1">
                <c:v>633.20000000000005</c:v>
              </c:pt>
              <c:pt idx="2">
                <c:v>785</c:v>
              </c:pt>
              <c:pt idx="3">
                <c:v>893.6</c:v>
              </c:pt>
              <c:pt idx="4">
                <c:v>980.29999999999984</c:v>
              </c:pt>
            </c:numLit>
          </c:xVal>
          <c:yVal>
            <c:numLit>
              <c:formatCode>General</c:formatCode>
              <c:ptCount val="5"/>
              <c:pt idx="0">
                <c:v>59.58823252099355</c:v>
              </c:pt>
              <c:pt idx="1">
                <c:v>58.617421778229662</c:v>
              </c:pt>
              <c:pt idx="2">
                <c:v>51.46202539454773</c:v>
              </c:pt>
              <c:pt idx="3">
                <c:v>42.695323405639648</c:v>
              </c:pt>
              <c:pt idx="4">
                <c:v>33.150324691866267</c:v>
              </c:pt>
            </c:numLit>
          </c:yVal>
          <c:smooth val="0"/>
          <c:extLst>
            <c:ext xmlns:c16="http://schemas.microsoft.com/office/drawing/2014/chart" uri="{C3380CC4-5D6E-409C-BE32-E72D297353CC}">
              <c16:uniqueId val="{00000019-CE8F-4B2F-BA98-19B5AD3E80BE}"/>
            </c:ext>
          </c:extLst>
        </c:ser>
        <c:ser>
          <c:idx val="5"/>
          <c:order val="5"/>
          <c:tx>
            <c:v>HEAD</c:v>
          </c:tx>
          <c:spPr>
            <a:ln w="38100">
              <a:solidFill>
                <a:srgbClr val="000000"/>
              </a:solidFill>
              <a:prstDash val="solid"/>
            </a:ln>
          </c:spPr>
          <c:marker>
            <c:symbol val="circle"/>
            <c:size val="4"/>
            <c:spPr>
              <a:solidFill>
                <a:srgbClr val="7F7F7F"/>
              </a:solidFill>
              <a:ln>
                <a:solidFill>
                  <a:srgbClr val="000000"/>
                </a:solidFill>
                <a:prstDash val="solid"/>
              </a:ln>
            </c:spPr>
          </c:marker>
          <c:xVal>
            <c:numLit>
              <c:formatCode>General</c:formatCode>
              <c:ptCount val="5"/>
              <c:pt idx="0">
                <c:v>617</c:v>
              </c:pt>
              <c:pt idx="1">
                <c:v>709.2</c:v>
              </c:pt>
              <c:pt idx="2">
                <c:v>877.29</c:v>
              </c:pt>
              <c:pt idx="3">
                <c:v>1010.17</c:v>
              </c:pt>
              <c:pt idx="4">
                <c:v>1108</c:v>
              </c:pt>
            </c:numLit>
          </c:xVal>
          <c:yVal>
            <c:numLit>
              <c:formatCode>General</c:formatCode>
              <c:ptCount val="5"/>
              <c:pt idx="0">
                <c:v>75.678983136621667</c:v>
              </c:pt>
              <c:pt idx="1">
                <c:v>75.25335267623403</c:v>
              </c:pt>
              <c:pt idx="2">
                <c:v>68.966150216633352</c:v>
              </c:pt>
              <c:pt idx="3">
                <c:v>58.163140226519374</c:v>
              </c:pt>
              <c:pt idx="4">
                <c:v>47.417664902194296</c:v>
              </c:pt>
            </c:numLit>
          </c:yVal>
          <c:smooth val="0"/>
          <c:extLst>
            <c:ext xmlns:c16="http://schemas.microsoft.com/office/drawing/2014/chart" uri="{C3380CC4-5D6E-409C-BE32-E72D297353CC}">
              <c16:uniqueId val="{0000001A-CE8F-4B2F-BA98-19B5AD3E80BE}"/>
            </c:ext>
          </c:extLst>
        </c:ser>
        <c:ser>
          <c:idx val="6"/>
          <c:order val="6"/>
          <c:tx>
            <c:v>HEAD</c:v>
          </c:tx>
          <c:spPr>
            <a:ln w="38100">
              <a:solidFill>
                <a:srgbClr val="000000"/>
              </a:solidFill>
              <a:prstDash val="solid"/>
            </a:ln>
          </c:spPr>
          <c:marker>
            <c:symbol val="circle"/>
            <c:size val="4"/>
            <c:spPr>
              <a:solidFill>
                <a:srgbClr val="7F7F7F"/>
              </a:solidFill>
              <a:ln>
                <a:solidFill>
                  <a:srgbClr val="000000"/>
                </a:solidFill>
                <a:prstDash val="solid"/>
              </a:ln>
            </c:spPr>
          </c:marker>
          <c:xVal>
            <c:numLit>
              <c:formatCode>General</c:formatCode>
              <c:ptCount val="5"/>
              <c:pt idx="0">
                <c:v>741.7</c:v>
              </c:pt>
              <c:pt idx="1">
                <c:v>836.6</c:v>
              </c:pt>
              <c:pt idx="2">
                <c:v>993.99999999999989</c:v>
              </c:pt>
              <c:pt idx="3">
                <c:v>1145.8</c:v>
              </c:pt>
              <c:pt idx="4">
                <c:v>1229.8</c:v>
              </c:pt>
            </c:numLit>
          </c:xVal>
          <c:yVal>
            <c:numLit>
              <c:formatCode>General</c:formatCode>
              <c:ptCount val="5"/>
              <c:pt idx="0">
                <c:v>93.451996093601537</c:v>
              </c:pt>
              <c:pt idx="1">
                <c:v>92.855840201705504</c:v>
              </c:pt>
              <c:pt idx="2">
                <c:v>86.954228353004268</c:v>
              </c:pt>
              <c:pt idx="3">
                <c:v>74.803376031035413</c:v>
              </c:pt>
              <c:pt idx="4">
                <c:v>65.058262380867134</c:v>
              </c:pt>
            </c:numLit>
          </c:yVal>
          <c:smooth val="0"/>
          <c:extLst>
            <c:ext xmlns:c16="http://schemas.microsoft.com/office/drawing/2014/chart" uri="{C3380CC4-5D6E-409C-BE32-E72D297353CC}">
              <c16:uniqueId val="{0000001B-CE8F-4B2F-BA98-19B5AD3E80BE}"/>
            </c:ext>
          </c:extLst>
        </c:ser>
        <c:ser>
          <c:idx val="7"/>
          <c:order val="7"/>
          <c:spPr>
            <a:ln w="28575">
              <a:noFill/>
            </a:ln>
          </c:spPr>
          <c:marker>
            <c:symbol val="diamond"/>
            <c:size val="15"/>
            <c:spPr>
              <a:solidFill>
                <a:srgbClr val="007F00"/>
              </a:solidFill>
              <a:ln>
                <a:solidFill>
                  <a:srgbClr val="7FFF7F"/>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C-CE8F-4B2F-BA98-19B5AD3E80BE}"/>
            </c:ext>
          </c:extLst>
        </c:ser>
        <c:ser>
          <c:idx val="8"/>
          <c:order val="8"/>
          <c:spPr>
            <a:ln w="25400">
              <a:solidFill>
                <a:srgbClr val="000000"/>
              </a:solidFill>
              <a:prstDash val="solid"/>
            </a:ln>
          </c:spPr>
          <c:marker>
            <c:symbol val="circle"/>
            <c:size val="8"/>
            <c:spPr>
              <a:solidFill>
                <a:srgbClr val="FF0000"/>
              </a:solidFill>
              <a:ln>
                <a:solidFill>
                  <a:srgbClr val="000000"/>
                </a:solidFill>
                <a:prstDash val="solid"/>
              </a:ln>
            </c:spPr>
          </c:marker>
          <c:xVal>
            <c:numLit>
              <c:formatCode>General</c:formatCode>
              <c:ptCount val="4"/>
              <c:pt idx="0">
                <c:v>448.8</c:v>
              </c:pt>
              <c:pt idx="1">
                <c:v>524.79999999999995</c:v>
              </c:pt>
              <c:pt idx="2">
                <c:v>617</c:v>
              </c:pt>
              <c:pt idx="3">
                <c:v>741.7</c:v>
              </c:pt>
            </c:numLit>
          </c:xVal>
          <c:yVal>
            <c:numLit>
              <c:formatCode>General</c:formatCode>
              <c:ptCount val="4"/>
              <c:pt idx="0">
                <c:v>45.588220909939373</c:v>
              </c:pt>
              <c:pt idx="1">
                <c:v>59.58823252099355</c:v>
              </c:pt>
              <c:pt idx="2">
                <c:v>75.678983136621667</c:v>
              </c:pt>
              <c:pt idx="3">
                <c:v>93.451996093601537</c:v>
              </c:pt>
            </c:numLit>
          </c:yVal>
          <c:smooth val="0"/>
          <c:extLst>
            <c:ext xmlns:c16="http://schemas.microsoft.com/office/drawing/2014/chart" uri="{C3380CC4-5D6E-409C-BE32-E72D297353CC}">
              <c16:uniqueId val="{0000001D-CE8F-4B2F-BA98-19B5AD3E80BE}"/>
            </c:ext>
          </c:extLst>
        </c:ser>
        <c:ser>
          <c:idx val="9"/>
          <c:order val="9"/>
          <c:spPr>
            <a:ln w="25400">
              <a:solidFill>
                <a:srgbClr val="000000"/>
              </a:solidFill>
              <a:prstDash val="solid"/>
            </a:ln>
          </c:spPr>
          <c:marker>
            <c:symbol val="circle"/>
            <c:size val="8"/>
            <c:spPr>
              <a:solidFill>
                <a:srgbClr val="FF0000"/>
              </a:solidFill>
              <a:ln>
                <a:solidFill>
                  <a:srgbClr val="000000"/>
                </a:solidFill>
                <a:prstDash val="solid"/>
              </a:ln>
            </c:spPr>
          </c:marker>
          <c:xVal>
            <c:numLit>
              <c:formatCode>General</c:formatCode>
              <c:ptCount val="4"/>
              <c:pt idx="0">
                <c:v>855.6</c:v>
              </c:pt>
              <c:pt idx="1">
                <c:v>980.29999999999984</c:v>
              </c:pt>
              <c:pt idx="2">
                <c:v>1108</c:v>
              </c:pt>
              <c:pt idx="3">
                <c:v>1229.8</c:v>
              </c:pt>
            </c:numLit>
          </c:xVal>
          <c:yVal>
            <c:numLit>
              <c:formatCode>General</c:formatCode>
              <c:ptCount val="4"/>
              <c:pt idx="0">
                <c:v>21.831339275961824</c:v>
              </c:pt>
              <c:pt idx="1">
                <c:v>33.150324691866267</c:v>
              </c:pt>
              <c:pt idx="2">
                <c:v>47.417664902194296</c:v>
              </c:pt>
              <c:pt idx="3">
                <c:v>65.058262380867134</c:v>
              </c:pt>
            </c:numLit>
          </c:yVal>
          <c:smooth val="0"/>
          <c:extLst>
            <c:ext xmlns:c16="http://schemas.microsoft.com/office/drawing/2014/chart" uri="{C3380CC4-5D6E-409C-BE32-E72D297353CC}">
              <c16:uniqueId val="{0000001E-CE8F-4B2F-BA98-19B5AD3E80BE}"/>
            </c:ext>
          </c:extLst>
        </c:ser>
        <c:ser>
          <c:idx val="10"/>
          <c:order val="10"/>
          <c:spPr>
            <a:ln w="28575">
              <a:noFill/>
            </a:ln>
          </c:spPr>
          <c:marker>
            <c:symbol val="diamond"/>
            <c:size val="15"/>
            <c:spPr>
              <a:solidFill>
                <a:srgbClr val="007F00"/>
              </a:solidFill>
              <a:ln>
                <a:solidFill>
                  <a:srgbClr val="7FFF7F"/>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F-CE8F-4B2F-BA98-19B5AD3E80BE}"/>
            </c:ext>
          </c:extLst>
        </c:ser>
        <c:dLbls>
          <c:showLegendKey val="0"/>
          <c:showVal val="0"/>
          <c:showCatName val="0"/>
          <c:showSerName val="0"/>
          <c:showPercent val="0"/>
          <c:showBubbleSize val="0"/>
        </c:dLbls>
        <c:axId val="1009261151"/>
        <c:axId val="1009255743"/>
      </c:scatterChart>
      <c:valAx>
        <c:axId val="1009261151"/>
        <c:scaling>
          <c:orientation val="minMax"/>
          <c:max val="1400"/>
          <c:min val="200"/>
        </c:scaling>
        <c:delete val="0"/>
        <c:axPos val="b"/>
        <c:majorGridlines/>
        <c:title>
          <c:tx>
            <c:rich>
              <a:bodyPr/>
              <a:lstStyle/>
              <a:p>
                <a:pPr>
                  <a:defRPr/>
                </a:pPr>
                <a:r>
                  <a:rPr lang="en-US"/>
                  <a:t>FV1   (M3/HR)</a:t>
                </a:r>
              </a:p>
            </c:rich>
          </c:tx>
          <c:overlay val="0"/>
        </c:title>
        <c:numFmt formatCode="General" sourceLinked="1"/>
        <c:majorTickMark val="out"/>
        <c:minorTickMark val="none"/>
        <c:tickLblPos val="nextTo"/>
        <c:crossAx val="1009255743"/>
        <c:crosses val="autoZero"/>
        <c:crossBetween val="midCat"/>
      </c:valAx>
      <c:valAx>
        <c:axId val="1009255743"/>
        <c:scaling>
          <c:orientation val="minMax"/>
          <c:max val="120"/>
          <c:min val="0"/>
        </c:scaling>
        <c:delete val="0"/>
        <c:axPos val="l"/>
        <c:majorGridlines>
          <c:spPr>
            <a:ln>
              <a:solidFill>
                <a:srgbClr val="000000"/>
              </a:solidFill>
              <a:prstDash val="lgDashDot"/>
            </a:ln>
          </c:spPr>
        </c:majorGridlines>
        <c:title>
          <c:tx>
            <c:rich>
              <a:bodyPr/>
              <a:lstStyle/>
              <a:p>
                <a:pPr algn="r">
                  <a:defRPr/>
                </a:pPr>
                <a:r>
                  <a:rPr lang="en-US"/>
                  <a:t>HEAD   (KJ/KG)</a:t>
                </a:r>
              </a:p>
            </c:rich>
          </c:tx>
          <c:overlay val="0"/>
        </c:title>
        <c:numFmt formatCode="General" sourceLinked="1"/>
        <c:majorTickMark val="out"/>
        <c:minorTickMark val="none"/>
        <c:tickLblPos val="nextTo"/>
        <c:crossAx val="1009261151"/>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12700</xdr:colOff>
      <xdr:row>2</xdr:row>
      <xdr:rowOff>31750</xdr:rowOff>
    </xdr:from>
    <xdr:to>
      <xdr:col>17</xdr:col>
      <xdr:colOff>521335</xdr:colOff>
      <xdr:row>39</xdr:row>
      <xdr:rowOff>3175</xdr:rowOff>
    </xdr:to>
    <xdr:graphicFrame macro="">
      <xdr:nvGraphicFramePr>
        <xdr:cNvPr id="39" name="Chart 38">
          <a:extLst>
            <a:ext uri="{FF2B5EF4-FFF2-40B4-BE49-F238E27FC236}">
              <a16:creationId xmlns:a16="http://schemas.microsoft.com/office/drawing/2014/main" id="{808B4F5E-26C2-6608-E76C-1A6D324DB6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12700</xdr:colOff>
      <xdr:row>2</xdr:row>
      <xdr:rowOff>31750</xdr:rowOff>
    </xdr:from>
    <xdr:to>
      <xdr:col>18</xdr:col>
      <xdr:colOff>347980</xdr:colOff>
      <xdr:row>39</xdr:row>
      <xdr:rowOff>17463</xdr:rowOff>
    </xdr:to>
    <xdr:graphicFrame macro="">
      <xdr:nvGraphicFramePr>
        <xdr:cNvPr id="3" name="Chart 2">
          <a:extLst>
            <a:ext uri="{FF2B5EF4-FFF2-40B4-BE49-F238E27FC236}">
              <a16:creationId xmlns:a16="http://schemas.microsoft.com/office/drawing/2014/main" id="{559AB3F8-8622-8238-4F52-9F6742FB59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Data\CASC\CASC%204.4\CASC44%2018-09-2018-Testin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UserData\CASC\CASC%204.3%20-2016-03-24\CASC-43%20-%2020160324%20for%20PDO.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J:\Users\mu55751\AppData\Local\Microsoft\Windows\Temporary%20Internet%20Files\Content.Outlook\RKO49BSD\K-5102-TO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UserData\CASC\CASC%204.2a\CASC-42a.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J:\UOA\01%20UEOA1,%20Process%20Control%20&amp;%20Optimisation\Vinay%20Sharma\Fahud%20Compression\D%20compressor\CASC-4_2_Fahud_Phase_1_stg1%20-%20rev%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gration"/>
      <sheetName val="LOGO"/>
      <sheetName val="Config"/>
      <sheetName val="Compressor Data"/>
      <sheetName val="Design"/>
      <sheetName val="Design Chart"/>
      <sheetName val="FT Design"/>
      <sheetName val="FT Chart"/>
      <sheetName val="FV Design"/>
      <sheetName val="Monitoring"/>
      <sheetName val="Archive"/>
    </sheetNames>
    <sheetDataSet>
      <sheetData sheetId="0"/>
      <sheetData sheetId="1"/>
      <sheetData sheetId="2">
        <row r="9">
          <cell r="Z9" t="str">
            <v>Head</v>
          </cell>
          <cell r="AA9" t="str">
            <v>Mass flow</v>
          </cell>
          <cell r="AB9" t="str">
            <v>Poly Eff</v>
          </cell>
        </row>
        <row r="10">
          <cell r="P10" t="str">
            <v>bar a</v>
          </cell>
          <cell r="Q10" t="str">
            <v>C</v>
          </cell>
          <cell r="R10" t="str">
            <v>kJ/kg</v>
          </cell>
          <cell r="S10" t="str">
            <v>kg/s</v>
          </cell>
          <cell r="T10" t="str">
            <v>m3/s</v>
          </cell>
          <cell r="W10" t="str">
            <v>kW</v>
          </cell>
          <cell r="Z10" t="str">
            <v>Pressure</v>
          </cell>
          <cell r="AA10" t="str">
            <v>Vol flow</v>
          </cell>
          <cell r="AB10" t="str">
            <v>T2</v>
          </cell>
        </row>
        <row r="11">
          <cell r="P11" t="str">
            <v>bar g</v>
          </cell>
          <cell r="Q11" t="str">
            <v>K</v>
          </cell>
          <cell r="R11" t="str">
            <v>m</v>
          </cell>
          <cell r="S11" t="str">
            <v>kg/min</v>
          </cell>
          <cell r="T11" t="str">
            <v>m3/min</v>
          </cell>
          <cell r="W11" t="str">
            <v>HP</v>
          </cell>
          <cell r="AA11" t="str">
            <v>orifice dP</v>
          </cell>
        </row>
        <row r="12">
          <cell r="P12" t="str">
            <v>kg/cm2 a</v>
          </cell>
          <cell r="Q12" t="str">
            <v>F</v>
          </cell>
          <cell r="R12" t="str">
            <v>ft</v>
          </cell>
          <cell r="S12" t="str">
            <v>kg/hr</v>
          </cell>
          <cell r="T12" t="str">
            <v>m3/hr</v>
          </cell>
        </row>
        <row r="13">
          <cell r="P13" t="str">
            <v>kg/cm2 g</v>
          </cell>
          <cell r="Q13" t="str">
            <v>R</v>
          </cell>
          <cell r="S13" t="str">
            <v>t/hr</v>
          </cell>
          <cell r="T13" t="str">
            <v>m3/d</v>
          </cell>
        </row>
        <row r="14">
          <cell r="P14" t="str">
            <v>kPa a</v>
          </cell>
          <cell r="S14" t="str">
            <v>t/d</v>
          </cell>
          <cell r="T14" t="str">
            <v>ft3/min</v>
          </cell>
        </row>
        <row r="15">
          <cell r="P15" t="str">
            <v>kPa g</v>
          </cell>
          <cell r="S15" t="str">
            <v>Sft3/hr</v>
          </cell>
          <cell r="T15" t="str">
            <v>ft3/hr</v>
          </cell>
        </row>
        <row r="16">
          <cell r="P16" t="str">
            <v>psi a</v>
          </cell>
          <cell r="S16" t="str">
            <v>Sft3/d</v>
          </cell>
        </row>
        <row r="17">
          <cell r="P17" t="str">
            <v>psi g</v>
          </cell>
          <cell r="S17" t="str">
            <v>Sm3/hr</v>
          </cell>
        </row>
        <row r="18">
          <cell r="C18" t="str">
            <v>bar a</v>
          </cell>
          <cell r="D18" t="str">
            <v>C</v>
          </cell>
          <cell r="E18" t="str">
            <v>kJ/kg</v>
          </cell>
          <cell r="F18" t="str">
            <v>kg/s</v>
          </cell>
          <cell r="G18" t="str">
            <v>m3/hr</v>
          </cell>
          <cell r="H18" t="str">
            <v>mbar</v>
          </cell>
          <cell r="I18" t="str">
            <v>kg/m3</v>
          </cell>
          <cell r="S18" t="str">
            <v>Nm3/hr</v>
          </cell>
        </row>
        <row r="19">
          <cell r="S19" t="str">
            <v>Lbs/min</v>
          </cell>
        </row>
        <row r="21">
          <cell r="B21" t="str">
            <v>Titles</v>
          </cell>
          <cell r="C21" t="str">
            <v>Head/Pressure</v>
          </cell>
          <cell r="D21" t="str">
            <v>Mass/Volume</v>
          </cell>
          <cell r="E21" t="str">
            <v>Efficiency/T2</v>
          </cell>
        </row>
      </sheetData>
      <sheetData sheetId="3"/>
      <sheetData sheetId="4">
        <row r="42">
          <cell r="B42">
            <v>0</v>
          </cell>
        </row>
      </sheetData>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O"/>
      <sheetName val="Config"/>
      <sheetName val="Compressor data"/>
      <sheetName val="design"/>
      <sheetName val="Design Chart"/>
      <sheetName val="FT design"/>
      <sheetName val="FT Chart"/>
      <sheetName val="Monitoring"/>
      <sheetName val="FV design"/>
    </sheetNames>
    <sheetDataSet>
      <sheetData sheetId="0"/>
      <sheetData sheetId="1">
        <row r="26">
          <cell r="B26" t="str">
            <v>kPa a</v>
          </cell>
          <cell r="C26" t="str">
            <v>K</v>
          </cell>
          <cell r="D26" t="str">
            <v>kJ/kg</v>
          </cell>
          <cell r="E26" t="str">
            <v>kg/s</v>
          </cell>
          <cell r="F26" t="str">
            <v>m3/hr</v>
          </cell>
          <cell r="H26" t="str">
            <v>kg/m3</v>
          </cell>
          <cell r="I26" t="str">
            <v>kW</v>
          </cell>
        </row>
        <row r="29">
          <cell r="B29" t="str">
            <v>bar a</v>
          </cell>
          <cell r="D29" t="str">
            <v>kJ/kg</v>
          </cell>
          <cell r="E29" t="str">
            <v>kg/s</v>
          </cell>
          <cell r="F29" t="str">
            <v>m3/s</v>
          </cell>
        </row>
        <row r="30">
          <cell r="C30" t="str">
            <v>C</v>
          </cell>
        </row>
        <row r="49">
          <cell r="AA49">
            <v>2</v>
          </cell>
          <cell r="AB49">
            <v>1</v>
          </cell>
          <cell r="AC49">
            <v>2</v>
          </cell>
        </row>
        <row r="50">
          <cell r="AA50">
            <v>2</v>
          </cell>
          <cell r="AB50">
            <v>1</v>
          </cell>
          <cell r="AC50">
            <v>2</v>
          </cell>
        </row>
        <row r="51">
          <cell r="AA51">
            <v>2</v>
          </cell>
          <cell r="AB51">
            <v>1</v>
          </cell>
          <cell r="AC51">
            <v>2</v>
          </cell>
        </row>
        <row r="52">
          <cell r="AA52">
            <v>2</v>
          </cell>
          <cell r="AB52">
            <v>1</v>
          </cell>
          <cell r="AC52">
            <v>2</v>
          </cell>
        </row>
        <row r="53">
          <cell r="AA53">
            <v>2</v>
          </cell>
          <cell r="AB53">
            <v>1</v>
          </cell>
          <cell r="AC53">
            <v>2</v>
          </cell>
        </row>
        <row r="54">
          <cell r="AA54">
            <v>2</v>
          </cell>
          <cell r="AB54">
            <v>1</v>
          </cell>
          <cell r="AC54">
            <v>2</v>
          </cell>
        </row>
        <row r="55">
          <cell r="AA55">
            <v>2</v>
          </cell>
          <cell r="AB55">
            <v>1</v>
          </cell>
          <cell r="AC55">
            <v>2</v>
          </cell>
        </row>
        <row r="56">
          <cell r="AA56">
            <v>2</v>
          </cell>
          <cell r="AB56">
            <v>1</v>
          </cell>
          <cell r="AC56">
            <v>2</v>
          </cell>
        </row>
        <row r="57">
          <cell r="AA57">
            <v>2</v>
          </cell>
          <cell r="AB57">
            <v>1</v>
          </cell>
          <cell r="AC57">
            <v>2</v>
          </cell>
        </row>
        <row r="58">
          <cell r="AA58">
            <v>2</v>
          </cell>
          <cell r="AB58">
            <v>1</v>
          </cell>
          <cell r="AC58">
            <v>2</v>
          </cell>
        </row>
        <row r="59">
          <cell r="B59" t="str">
            <v>Unname Case 1</v>
          </cell>
          <cell r="AA59">
            <v>2</v>
          </cell>
          <cell r="AB59">
            <v>1</v>
          </cell>
          <cell r="AC59">
            <v>2</v>
          </cell>
        </row>
        <row r="60">
          <cell r="B60" t="str">
            <v>Unname Case 2</v>
          </cell>
          <cell r="AA60">
            <v>2</v>
          </cell>
          <cell r="AB60">
            <v>1</v>
          </cell>
          <cell r="AC60">
            <v>2</v>
          </cell>
        </row>
        <row r="61">
          <cell r="AA61">
            <v>2</v>
          </cell>
          <cell r="AB61">
            <v>1</v>
          </cell>
          <cell r="AC61">
            <v>2</v>
          </cell>
        </row>
        <row r="62">
          <cell r="AA62">
            <v>2</v>
          </cell>
          <cell r="AB62">
            <v>1</v>
          </cell>
          <cell r="AC62">
            <v>2</v>
          </cell>
        </row>
        <row r="63">
          <cell r="AA63">
            <v>2</v>
          </cell>
          <cell r="AB63">
            <v>1</v>
          </cell>
          <cell r="AC63">
            <v>2</v>
          </cell>
        </row>
        <row r="64">
          <cell r="AA64">
            <v>2</v>
          </cell>
          <cell r="AB64">
            <v>1</v>
          </cell>
          <cell r="AC64">
            <v>2</v>
          </cell>
        </row>
        <row r="65">
          <cell r="B65" t="str">
            <v>Unname Case 3</v>
          </cell>
          <cell r="AA65">
            <v>2</v>
          </cell>
          <cell r="AB65">
            <v>1</v>
          </cell>
          <cell r="AC65">
            <v>2</v>
          </cell>
        </row>
        <row r="66">
          <cell r="B66" t="str">
            <v>Unname Case 4</v>
          </cell>
          <cell r="AA66">
            <v>2</v>
          </cell>
          <cell r="AB66">
            <v>1</v>
          </cell>
          <cell r="AC66">
            <v>2</v>
          </cell>
        </row>
        <row r="67">
          <cell r="B67" t="str">
            <v>Unname Case 5</v>
          </cell>
          <cell r="AA67">
            <v>2</v>
          </cell>
          <cell r="AB67">
            <v>1</v>
          </cell>
          <cell r="AC67">
            <v>2</v>
          </cell>
        </row>
        <row r="68">
          <cell r="B68" t="str">
            <v>Unname Case 6</v>
          </cell>
          <cell r="AA68">
            <v>2</v>
          </cell>
          <cell r="AB68">
            <v>1</v>
          </cell>
          <cell r="AC68">
            <v>2</v>
          </cell>
        </row>
        <row r="69">
          <cell r="AA69">
            <v>2</v>
          </cell>
          <cell r="AB69">
            <v>1</v>
          </cell>
          <cell r="AC69">
            <v>2</v>
          </cell>
        </row>
        <row r="70">
          <cell r="B70" t="str">
            <v>Unname Case 7</v>
          </cell>
          <cell r="AA70">
            <v>2</v>
          </cell>
          <cell r="AB70">
            <v>1</v>
          </cell>
          <cell r="AC70">
            <v>2</v>
          </cell>
        </row>
        <row r="71">
          <cell r="AA71">
            <v>2</v>
          </cell>
          <cell r="AB71">
            <v>1</v>
          </cell>
          <cell r="AC71">
            <v>2</v>
          </cell>
        </row>
        <row r="72">
          <cell r="AA72">
            <v>2</v>
          </cell>
          <cell r="AB72">
            <v>1</v>
          </cell>
          <cell r="AC72">
            <v>2</v>
          </cell>
        </row>
        <row r="73">
          <cell r="AA73">
            <v>2</v>
          </cell>
          <cell r="AB73">
            <v>1</v>
          </cell>
          <cell r="AC73">
            <v>2</v>
          </cell>
        </row>
        <row r="74">
          <cell r="AA74">
            <v>2</v>
          </cell>
          <cell r="AB74">
            <v>1</v>
          </cell>
          <cell r="AC74">
            <v>2</v>
          </cell>
        </row>
        <row r="75">
          <cell r="AA75">
            <v>2</v>
          </cell>
          <cell r="AB75">
            <v>1</v>
          </cell>
          <cell r="AC75">
            <v>2</v>
          </cell>
        </row>
        <row r="76">
          <cell r="B76" t="str">
            <v>Unname Case 8</v>
          </cell>
          <cell r="AA76">
            <v>2</v>
          </cell>
          <cell r="AB76">
            <v>1</v>
          </cell>
          <cell r="AC76">
            <v>2</v>
          </cell>
        </row>
        <row r="77">
          <cell r="B77" t="str">
            <v>Unname Case 9</v>
          </cell>
          <cell r="AA77">
            <v>2</v>
          </cell>
          <cell r="AB77">
            <v>1</v>
          </cell>
          <cell r="AC77">
            <v>2</v>
          </cell>
        </row>
        <row r="78">
          <cell r="B78" t="str">
            <v>Unname Case 10</v>
          </cell>
          <cell r="AA78">
            <v>2</v>
          </cell>
          <cell r="AB78">
            <v>1</v>
          </cell>
          <cell r="AC78">
            <v>2</v>
          </cell>
        </row>
        <row r="79">
          <cell r="B79">
            <v>0</v>
          </cell>
          <cell r="AA79">
            <v>2</v>
          </cell>
          <cell r="AB79">
            <v>1</v>
          </cell>
          <cell r="AC79">
            <v>2</v>
          </cell>
        </row>
        <row r="80">
          <cell r="B80">
            <v>0</v>
          </cell>
          <cell r="AA80">
            <v>2</v>
          </cell>
          <cell r="AB80">
            <v>1</v>
          </cell>
          <cell r="AC80">
            <v>2</v>
          </cell>
        </row>
        <row r="81">
          <cell r="B81">
            <v>0</v>
          </cell>
          <cell r="AA81">
            <v>2</v>
          </cell>
          <cell r="AB81">
            <v>1</v>
          </cell>
          <cell r="AC81">
            <v>2</v>
          </cell>
        </row>
        <row r="82">
          <cell r="B82">
            <v>0</v>
          </cell>
          <cell r="AA82">
            <v>2</v>
          </cell>
          <cell r="AB82">
            <v>1</v>
          </cell>
          <cell r="AC82">
            <v>2</v>
          </cell>
        </row>
        <row r="83">
          <cell r="B83">
            <v>0</v>
          </cell>
          <cell r="AA83">
            <v>2</v>
          </cell>
          <cell r="AB83">
            <v>1</v>
          </cell>
          <cell r="AC83">
            <v>2</v>
          </cell>
        </row>
        <row r="84">
          <cell r="B84">
            <v>0</v>
          </cell>
          <cell r="AA84">
            <v>2</v>
          </cell>
          <cell r="AB84">
            <v>1</v>
          </cell>
          <cell r="AC84">
            <v>2</v>
          </cell>
        </row>
        <row r="85">
          <cell r="B85">
            <v>0</v>
          </cell>
          <cell r="AA85">
            <v>2</v>
          </cell>
          <cell r="AB85">
            <v>1</v>
          </cell>
          <cell r="AC85">
            <v>2</v>
          </cell>
        </row>
        <row r="86">
          <cell r="B86">
            <v>0</v>
          </cell>
          <cell r="AA86">
            <v>2</v>
          </cell>
          <cell r="AB86">
            <v>1</v>
          </cell>
          <cell r="AC86">
            <v>2</v>
          </cell>
        </row>
        <row r="87">
          <cell r="B87">
            <v>0</v>
          </cell>
          <cell r="AA87">
            <v>2</v>
          </cell>
          <cell r="AB87">
            <v>1</v>
          </cell>
          <cell r="AC87">
            <v>2</v>
          </cell>
        </row>
        <row r="88">
          <cell r="B88">
            <v>0</v>
          </cell>
          <cell r="AA88">
            <v>2</v>
          </cell>
          <cell r="AB88">
            <v>1</v>
          </cell>
          <cell r="AC88">
            <v>2</v>
          </cell>
        </row>
        <row r="89">
          <cell r="B89">
            <v>0</v>
          </cell>
          <cell r="AA89">
            <v>2</v>
          </cell>
          <cell r="AB89">
            <v>1</v>
          </cell>
          <cell r="AC89">
            <v>2</v>
          </cell>
        </row>
        <row r="90">
          <cell r="B90">
            <v>0</v>
          </cell>
          <cell r="AA90">
            <v>2</v>
          </cell>
          <cell r="AB90">
            <v>1</v>
          </cell>
          <cell r="AC90">
            <v>2</v>
          </cell>
        </row>
        <row r="91">
          <cell r="B91">
            <v>0</v>
          </cell>
          <cell r="AA91">
            <v>2</v>
          </cell>
          <cell r="AB91">
            <v>1</v>
          </cell>
          <cell r="AC91">
            <v>2</v>
          </cell>
        </row>
        <row r="92">
          <cell r="B92">
            <v>0</v>
          </cell>
          <cell r="AA92">
            <v>2</v>
          </cell>
          <cell r="AB92">
            <v>1</v>
          </cell>
          <cell r="AC92">
            <v>2</v>
          </cell>
        </row>
        <row r="93">
          <cell r="B93">
            <v>0</v>
          </cell>
          <cell r="AA93">
            <v>2</v>
          </cell>
          <cell r="AB93">
            <v>1</v>
          </cell>
          <cell r="AC93">
            <v>2</v>
          </cell>
        </row>
        <row r="94">
          <cell r="B94">
            <v>0</v>
          </cell>
          <cell r="AA94">
            <v>2</v>
          </cell>
          <cell r="AB94">
            <v>1</v>
          </cell>
          <cell r="AC94">
            <v>2</v>
          </cell>
        </row>
        <row r="95">
          <cell r="B95">
            <v>0</v>
          </cell>
          <cell r="AA95">
            <v>2</v>
          </cell>
          <cell r="AB95">
            <v>1</v>
          </cell>
          <cell r="AC95">
            <v>2</v>
          </cell>
        </row>
        <row r="96">
          <cell r="B96">
            <v>0</v>
          </cell>
          <cell r="AA96">
            <v>2</v>
          </cell>
          <cell r="AB96">
            <v>1</v>
          </cell>
          <cell r="AC96">
            <v>2</v>
          </cell>
        </row>
        <row r="97">
          <cell r="B97">
            <v>0</v>
          </cell>
          <cell r="AA97">
            <v>2</v>
          </cell>
          <cell r="AB97">
            <v>1</v>
          </cell>
          <cell r="AC97">
            <v>2</v>
          </cell>
        </row>
        <row r="98">
          <cell r="B98">
            <v>0</v>
          </cell>
          <cell r="AA98">
            <v>2</v>
          </cell>
          <cell r="AB98">
            <v>1</v>
          </cell>
          <cell r="AC98">
            <v>2</v>
          </cell>
        </row>
      </sheetData>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O"/>
      <sheetName val="Config"/>
      <sheetName val="Compressor data"/>
      <sheetName val="design"/>
      <sheetName val="Design Chart"/>
      <sheetName val="FT design"/>
      <sheetName val="FT Chart"/>
      <sheetName val="Monitoring"/>
      <sheetName val="FV design"/>
    </sheetNames>
    <sheetDataSet>
      <sheetData sheetId="0" refreshError="1"/>
      <sheetData sheetId="1" refreshError="1">
        <row r="49">
          <cell r="B49" t="str">
            <v>Case A 95%</v>
          </cell>
        </row>
        <row r="50">
          <cell r="B50" t="str">
            <v>Case A 70%</v>
          </cell>
        </row>
        <row r="51">
          <cell r="B51" t="str">
            <v>Case B 95%</v>
          </cell>
        </row>
        <row r="52">
          <cell r="B52" t="str">
            <v>Case C 90%</v>
          </cell>
        </row>
        <row r="53">
          <cell r="B53" t="str">
            <v>case C 105%</v>
          </cell>
        </row>
        <row r="54">
          <cell r="B54" t="str">
            <v>Case D 95%</v>
          </cell>
        </row>
        <row r="55">
          <cell r="B55" t="str">
            <v>Case D 105%</v>
          </cell>
        </row>
        <row r="56">
          <cell r="B56" t="str">
            <v>Case E 95%</v>
          </cell>
        </row>
        <row r="57">
          <cell r="B57" t="str">
            <v>Case F 95%</v>
          </cell>
        </row>
        <row r="58">
          <cell r="B58" t="str">
            <v>Case F 70%</v>
          </cell>
        </row>
        <row r="61">
          <cell r="B61" t="str">
            <v>Case A +5% 90%</v>
          </cell>
        </row>
        <row r="62">
          <cell r="B62" t="str">
            <v>Case A +5% 105%</v>
          </cell>
        </row>
        <row r="63">
          <cell r="B63" t="str">
            <v>Case A -5% 95%</v>
          </cell>
        </row>
        <row r="64">
          <cell r="B64" t="str">
            <v>Case A -5% 70%</v>
          </cell>
        </row>
        <row r="69">
          <cell r="B69" t="str">
            <v>Case N2 100%</v>
          </cell>
        </row>
        <row r="71">
          <cell r="B71" t="str">
            <v>Check Case A1 95%</v>
          </cell>
        </row>
        <row r="72">
          <cell r="B72" t="str">
            <v>Check Case A1 105%</v>
          </cell>
        </row>
        <row r="73">
          <cell r="B73" t="str">
            <v>Check Case A1 70%</v>
          </cell>
        </row>
        <row r="74">
          <cell r="B74" t="str">
            <v>Check case D1 90%</v>
          </cell>
        </row>
        <row r="75">
          <cell r="B75" t="str">
            <v>Check Case D1 100%</v>
          </cell>
        </row>
      </sheetData>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O"/>
      <sheetName val="Config"/>
      <sheetName val="Compressor data"/>
      <sheetName val="design"/>
      <sheetName val="Design Chart"/>
      <sheetName val="FT design"/>
      <sheetName val="FT Chart"/>
      <sheetName val="Monitoring"/>
      <sheetName val="FV design"/>
    </sheetNames>
    <sheetDataSet>
      <sheetData sheetId="0"/>
      <sheetData sheetId="1">
        <row r="26">
          <cell r="G26" t="str">
            <v>mbar</v>
          </cell>
        </row>
      </sheetData>
      <sheetData sheetId="2"/>
      <sheetData sheetId="3"/>
      <sheetData sheetId="4" refreshError="1"/>
      <sheetData sheetId="5"/>
      <sheetData sheetId="6" refreshError="1"/>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O"/>
      <sheetName val="Config"/>
      <sheetName val="Compressor data"/>
      <sheetName val="design"/>
      <sheetName val="Design Chart"/>
      <sheetName val="FT design"/>
      <sheetName val="FT Chart"/>
      <sheetName val="Monitoring"/>
      <sheetName val="FV design"/>
      <sheetName val="Sheet1"/>
    </sheetNames>
    <sheetDataSet>
      <sheetData sheetId="0"/>
      <sheetData sheetId="1">
        <row r="26">
          <cell r="B26" t="str">
            <v>bar a</v>
          </cell>
          <cell r="D26" t="str">
            <v>kJ/kg</v>
          </cell>
        </row>
      </sheetData>
      <sheetData sheetId="2"/>
      <sheetData sheetId="3"/>
      <sheetData sheetId="4" refreshError="1"/>
      <sheetData sheetId="5"/>
      <sheetData sheetId="6" refreshError="1"/>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50"/>
  <sheetViews>
    <sheetView topLeftCell="A16" zoomScale="90" zoomScaleNormal="90" workbookViewId="0">
      <selection activeCell="C3" sqref="C3"/>
    </sheetView>
  </sheetViews>
  <sheetFormatPr defaultColWidth="8.85546875" defaultRowHeight="15"/>
  <cols>
    <col min="1" max="1" width="11.140625" style="3" customWidth="1"/>
    <col min="2" max="2" width="14.85546875" style="1" customWidth="1"/>
    <col min="3" max="3" width="9.85546875" customWidth="1"/>
    <col min="4" max="4" width="8.42578125" bestFit="1" customWidth="1"/>
    <col min="5" max="5" width="11.28515625" bestFit="1" customWidth="1"/>
    <col min="6" max="6" width="8.140625" customWidth="1"/>
    <col min="7" max="7" width="9.85546875" customWidth="1"/>
    <col min="8" max="8" width="8.42578125" customWidth="1"/>
    <col min="9" max="9" width="8" customWidth="1"/>
    <col min="10" max="10" width="8.7109375" customWidth="1"/>
    <col min="11" max="11" width="8.42578125" customWidth="1"/>
    <col min="12" max="13" width="8" bestFit="1" customWidth="1"/>
    <col min="14" max="14" width="8.42578125" bestFit="1" customWidth="1"/>
    <col min="16" max="16" width="8.42578125" bestFit="1" customWidth="1"/>
    <col min="17" max="17" width="12.42578125" customWidth="1"/>
    <col min="18" max="18" width="14" customWidth="1"/>
    <col min="19" max="20" width="11.42578125" customWidth="1"/>
    <col min="22" max="22" width="13.85546875" customWidth="1"/>
  </cols>
  <sheetData>
    <row r="1" spans="1:5" s="4" customFormat="1">
      <c r="A1" s="3" t="s">
        <v>71</v>
      </c>
      <c r="B1" s="1"/>
    </row>
    <row r="2" spans="1:5" s="4" customFormat="1">
      <c r="A2" s="3">
        <v>1</v>
      </c>
      <c r="B2" s="1" t="s">
        <v>48</v>
      </c>
    </row>
    <row r="3" spans="1:5" s="4" customFormat="1">
      <c r="A3" s="3">
        <v>2</v>
      </c>
      <c r="B3" s="1" t="s">
        <v>70</v>
      </c>
    </row>
    <row r="4" spans="1:5" s="4" customFormat="1">
      <c r="A4" s="3">
        <v>3</v>
      </c>
      <c r="B4" s="1" t="s">
        <v>49</v>
      </c>
    </row>
    <row r="5" spans="1:5" s="4" customFormat="1">
      <c r="A5" s="3">
        <v>4</v>
      </c>
      <c r="B5" s="1" t="s">
        <v>32</v>
      </c>
    </row>
    <row r="6" spans="1:5" s="4" customFormat="1">
      <c r="A6" s="3">
        <v>5</v>
      </c>
      <c r="B6" s="1" t="s">
        <v>50</v>
      </c>
    </row>
    <row r="7" spans="1:5" s="4" customFormat="1">
      <c r="A7" s="3">
        <v>6</v>
      </c>
      <c r="B7" s="1" t="s">
        <v>51</v>
      </c>
    </row>
    <row r="8" spans="1:5" s="4" customFormat="1">
      <c r="A8" s="3"/>
      <c r="B8" s="1"/>
    </row>
    <row r="9" spans="1:5" s="4" customFormat="1">
      <c r="A9" s="1" t="s">
        <v>27</v>
      </c>
      <c r="B9" s="1"/>
    </row>
    <row r="10" spans="1:5">
      <c r="A10" s="3">
        <v>1</v>
      </c>
      <c r="B10" s="1" t="s">
        <v>29</v>
      </c>
      <c r="C10" s="5"/>
      <c r="D10" s="5"/>
      <c r="E10" s="5"/>
    </row>
    <row r="11" spans="1:5" s="4" customFormat="1">
      <c r="A11" s="3">
        <v>2</v>
      </c>
      <c r="B11" s="1" t="s">
        <v>30</v>
      </c>
    </row>
    <row r="12" spans="1:5">
      <c r="A12" s="3">
        <v>3</v>
      </c>
      <c r="B12" s="1" t="s">
        <v>28</v>
      </c>
    </row>
    <row r="13" spans="1:5" s="4" customFormat="1">
      <c r="A13" s="3">
        <v>4</v>
      </c>
      <c r="B13" s="1" t="s">
        <v>74</v>
      </c>
    </row>
    <row r="14" spans="1:5">
      <c r="A14" s="3">
        <v>5</v>
      </c>
      <c r="B14" s="1" t="s">
        <v>31</v>
      </c>
    </row>
    <row r="15" spans="1:5">
      <c r="A15" s="3">
        <v>6</v>
      </c>
      <c r="B15" s="1" t="s">
        <v>14</v>
      </c>
    </row>
    <row r="16" spans="1:5">
      <c r="A16" s="3">
        <v>7</v>
      </c>
      <c r="B16" s="1" t="s">
        <v>15</v>
      </c>
    </row>
    <row r="17" spans="1:25">
      <c r="A17" s="3">
        <v>8</v>
      </c>
      <c r="B17" s="1" t="s">
        <v>72</v>
      </c>
    </row>
    <row r="18" spans="1:25">
      <c r="A18" s="3">
        <v>9</v>
      </c>
      <c r="B18" s="1" t="s">
        <v>16</v>
      </c>
    </row>
    <row r="19" spans="1:25">
      <c r="A19" s="3">
        <v>10</v>
      </c>
      <c r="B19" s="1" t="s">
        <v>73</v>
      </c>
    </row>
    <row r="21" spans="1:25">
      <c r="A21" s="3" t="s">
        <v>82</v>
      </c>
      <c r="C21" s="1"/>
    </row>
    <row r="22" spans="1:25">
      <c r="A22" s="106" t="s">
        <v>84</v>
      </c>
      <c r="B22" s="1" t="s">
        <v>83</v>
      </c>
    </row>
    <row r="23" spans="1:25" s="4" customFormat="1" ht="15.75" thickBot="1">
      <c r="A23" s="106"/>
      <c r="B23" s="1"/>
    </row>
    <row r="24" spans="1:25" ht="17.25" thickBot="1">
      <c r="B24" s="35" t="s">
        <v>22</v>
      </c>
      <c r="C24" s="36" t="s">
        <v>17</v>
      </c>
      <c r="D24" s="37" t="s">
        <v>1</v>
      </c>
      <c r="E24" s="40" t="s">
        <v>2</v>
      </c>
      <c r="F24" s="62" t="s">
        <v>3</v>
      </c>
      <c r="G24" s="38" t="s">
        <v>4</v>
      </c>
      <c r="H24" s="38" t="s">
        <v>5</v>
      </c>
      <c r="I24" s="38" t="s">
        <v>20</v>
      </c>
      <c r="J24" s="38" t="s">
        <v>6</v>
      </c>
      <c r="K24" s="38" t="s">
        <v>7</v>
      </c>
      <c r="L24" s="38" t="s">
        <v>8</v>
      </c>
      <c r="M24" s="38" t="s">
        <v>21</v>
      </c>
      <c r="N24" s="38" t="s">
        <v>18</v>
      </c>
      <c r="O24" s="38" t="s">
        <v>19</v>
      </c>
      <c r="P24" s="39" t="s">
        <v>23</v>
      </c>
      <c r="Q24" s="62" t="s">
        <v>34</v>
      </c>
      <c r="R24" s="38" t="s">
        <v>36</v>
      </c>
      <c r="S24" s="38" t="s">
        <v>37</v>
      </c>
      <c r="T24" s="38" t="s">
        <v>38</v>
      </c>
      <c r="U24" s="38" t="s">
        <v>9</v>
      </c>
      <c r="V24" s="38" t="s">
        <v>0</v>
      </c>
      <c r="W24" s="39" t="s">
        <v>35</v>
      </c>
      <c r="X24" s="56" t="s">
        <v>39</v>
      </c>
      <c r="Y24" s="41" t="s">
        <v>26</v>
      </c>
    </row>
    <row r="25" spans="1:25" s="48" customFormat="1" ht="116.25" thickBot="1">
      <c r="B25" s="49"/>
      <c r="C25" s="50" t="s">
        <v>10</v>
      </c>
      <c r="D25" s="42"/>
      <c r="E25" s="72" t="s">
        <v>55</v>
      </c>
      <c r="F25" s="63" t="s">
        <v>75</v>
      </c>
      <c r="G25" s="44" t="s">
        <v>76</v>
      </c>
      <c r="H25" s="45" t="s">
        <v>10</v>
      </c>
      <c r="I25" s="45" t="s">
        <v>10</v>
      </c>
      <c r="J25" s="44" t="s">
        <v>75</v>
      </c>
      <c r="K25" s="44" t="s">
        <v>76</v>
      </c>
      <c r="L25" s="45" t="s">
        <v>10</v>
      </c>
      <c r="M25" s="45" t="s">
        <v>10</v>
      </c>
      <c r="N25" s="44" t="s">
        <v>77</v>
      </c>
      <c r="O25" s="43" t="s">
        <v>11</v>
      </c>
      <c r="P25" s="78" t="s">
        <v>81</v>
      </c>
      <c r="Q25" s="63" t="s">
        <v>78</v>
      </c>
      <c r="R25" s="44" t="s">
        <v>79</v>
      </c>
      <c r="S25" s="44" t="s">
        <v>79</v>
      </c>
      <c r="T25" s="44" t="s">
        <v>79</v>
      </c>
      <c r="U25" s="44" t="s">
        <v>80</v>
      </c>
      <c r="V25" s="44" t="s">
        <v>78</v>
      </c>
      <c r="W25" s="46" t="s">
        <v>10</v>
      </c>
      <c r="X25" s="51" t="s">
        <v>45</v>
      </c>
      <c r="Y25" s="52" t="s">
        <v>11</v>
      </c>
    </row>
    <row r="26" spans="1:25" ht="20.25" thickBot="1">
      <c r="B26" s="21" t="s">
        <v>42</v>
      </c>
      <c r="C26" s="7"/>
      <c r="D26" s="23" t="s">
        <v>33</v>
      </c>
      <c r="E26" s="73" t="s">
        <v>33</v>
      </c>
      <c r="F26" s="64" t="s">
        <v>33</v>
      </c>
      <c r="G26" s="23" t="s">
        <v>33</v>
      </c>
      <c r="H26" s="23" t="s">
        <v>33</v>
      </c>
      <c r="I26" s="57" t="s">
        <v>24</v>
      </c>
      <c r="J26" s="12" t="s">
        <v>24</v>
      </c>
      <c r="K26" s="12" t="s">
        <v>24</v>
      </c>
      <c r="L26" s="12" t="s">
        <v>24</v>
      </c>
      <c r="M26" s="57" t="s">
        <v>24</v>
      </c>
      <c r="N26" s="57" t="s">
        <v>24</v>
      </c>
      <c r="O26" s="34" t="s">
        <v>24</v>
      </c>
      <c r="P26" s="57" t="s">
        <v>24</v>
      </c>
      <c r="Q26" s="64" t="s">
        <v>33</v>
      </c>
      <c r="R26" s="57" t="s">
        <v>24</v>
      </c>
      <c r="S26" s="57" t="s">
        <v>24</v>
      </c>
      <c r="T26" s="57" t="s">
        <v>24</v>
      </c>
      <c r="U26" s="17"/>
      <c r="V26" s="24"/>
      <c r="W26" s="26"/>
      <c r="X26" s="57" t="s">
        <v>24</v>
      </c>
      <c r="Y26" s="34" t="s">
        <v>24</v>
      </c>
    </row>
    <row r="27" spans="1:25" ht="20.25" thickBot="1">
      <c r="B27" s="18" t="s">
        <v>42</v>
      </c>
      <c r="C27" s="16"/>
      <c r="D27" s="12" t="s">
        <v>24</v>
      </c>
      <c r="E27" s="74" t="s">
        <v>24</v>
      </c>
      <c r="F27" s="66" t="s">
        <v>24</v>
      </c>
      <c r="G27" s="12" t="s">
        <v>24</v>
      </c>
      <c r="H27" s="12" t="s">
        <v>24</v>
      </c>
      <c r="I27" s="13"/>
      <c r="J27" s="13"/>
      <c r="K27" s="13"/>
      <c r="L27" s="13"/>
      <c r="M27" s="13"/>
      <c r="N27" s="13"/>
      <c r="O27" s="13"/>
      <c r="P27" s="80"/>
      <c r="Q27" s="65"/>
      <c r="R27" s="12" t="s">
        <v>24</v>
      </c>
      <c r="S27" s="13"/>
      <c r="T27" s="17"/>
      <c r="U27" s="12" t="s">
        <v>24</v>
      </c>
      <c r="V27" s="13"/>
      <c r="W27" s="10"/>
      <c r="X27" s="57" t="s">
        <v>24</v>
      </c>
      <c r="Y27" s="34" t="s">
        <v>24</v>
      </c>
    </row>
    <row r="28" spans="1:25" s="4" customFormat="1" ht="20.25" thickBot="1">
      <c r="A28" s="3"/>
      <c r="B28" s="18" t="s">
        <v>42</v>
      </c>
      <c r="C28" s="16"/>
      <c r="D28" s="12" t="s">
        <v>24</v>
      </c>
      <c r="E28" s="74" t="s">
        <v>24</v>
      </c>
      <c r="F28" s="66" t="s">
        <v>24</v>
      </c>
      <c r="G28" s="12" t="s">
        <v>24</v>
      </c>
      <c r="H28" s="12" t="s">
        <v>24</v>
      </c>
      <c r="I28" s="13"/>
      <c r="J28" s="13"/>
      <c r="K28" s="13"/>
      <c r="L28" s="13"/>
      <c r="M28" s="13"/>
      <c r="N28" s="13"/>
      <c r="O28" s="13"/>
      <c r="P28" s="80"/>
      <c r="Q28" s="65"/>
      <c r="R28" s="17"/>
      <c r="S28" s="13"/>
      <c r="T28" s="12" t="s">
        <v>24</v>
      </c>
      <c r="U28" s="12" t="s">
        <v>24</v>
      </c>
      <c r="V28" s="13"/>
      <c r="W28" s="10"/>
      <c r="X28" s="57" t="s">
        <v>24</v>
      </c>
      <c r="Y28" s="34" t="s">
        <v>24</v>
      </c>
    </row>
    <row r="29" spans="1:25" ht="20.25" thickBot="1">
      <c r="B29" s="18" t="s">
        <v>42</v>
      </c>
      <c r="C29" s="16"/>
      <c r="D29" s="12" t="s">
        <v>24</v>
      </c>
      <c r="E29" s="74" t="s">
        <v>24</v>
      </c>
      <c r="F29" s="66" t="s">
        <v>24</v>
      </c>
      <c r="G29" s="12" t="s">
        <v>24</v>
      </c>
      <c r="H29" s="12" t="s">
        <v>24</v>
      </c>
      <c r="I29" s="14"/>
      <c r="J29" s="12" t="s">
        <v>24</v>
      </c>
      <c r="K29" s="12" t="s">
        <v>24</v>
      </c>
      <c r="L29" s="12" t="s">
        <v>24</v>
      </c>
      <c r="M29" s="13"/>
      <c r="N29" s="13"/>
      <c r="O29" s="13"/>
      <c r="P29" s="80"/>
      <c r="Q29" s="66" t="s">
        <v>25</v>
      </c>
      <c r="R29" s="13"/>
      <c r="S29" s="13"/>
      <c r="T29" s="17"/>
      <c r="U29" s="12" t="s">
        <v>25</v>
      </c>
      <c r="V29" s="13"/>
      <c r="W29" s="10"/>
      <c r="X29" s="57" t="s">
        <v>24</v>
      </c>
      <c r="Y29" s="34" t="s">
        <v>24</v>
      </c>
    </row>
    <row r="30" spans="1:25" ht="20.25" thickBot="1">
      <c r="B30" s="18" t="s">
        <v>42</v>
      </c>
      <c r="C30" s="16"/>
      <c r="D30" s="12" t="s">
        <v>24</v>
      </c>
      <c r="E30" s="74" t="s">
        <v>24</v>
      </c>
      <c r="F30" s="66" t="s">
        <v>24</v>
      </c>
      <c r="G30" s="12" t="s">
        <v>24</v>
      </c>
      <c r="H30" s="12" t="s">
        <v>24</v>
      </c>
      <c r="I30" s="14"/>
      <c r="J30" s="12" t="s">
        <v>24</v>
      </c>
      <c r="K30" s="12" t="s">
        <v>24</v>
      </c>
      <c r="L30" s="12" t="s">
        <v>24</v>
      </c>
      <c r="M30" s="13"/>
      <c r="N30" s="13"/>
      <c r="O30" s="13"/>
      <c r="P30" s="80"/>
      <c r="Q30" s="65"/>
      <c r="R30" s="13"/>
      <c r="S30" s="12" t="s">
        <v>25</v>
      </c>
      <c r="T30" s="17"/>
      <c r="U30" s="12" t="s">
        <v>25</v>
      </c>
      <c r="V30" s="13"/>
      <c r="W30" s="10"/>
      <c r="X30" s="57" t="s">
        <v>24</v>
      </c>
      <c r="Y30" s="34" t="s">
        <v>24</v>
      </c>
    </row>
    <row r="31" spans="1:25" s="4" customFormat="1" ht="20.25" thickBot="1">
      <c r="A31" s="3"/>
      <c r="B31" s="19" t="s">
        <v>42</v>
      </c>
      <c r="C31" s="8"/>
      <c r="D31" s="6" t="s">
        <v>24</v>
      </c>
      <c r="E31" s="75" t="s">
        <v>24</v>
      </c>
      <c r="F31" s="81" t="s">
        <v>24</v>
      </c>
      <c r="G31" s="6" t="s">
        <v>24</v>
      </c>
      <c r="H31" s="6" t="s">
        <v>24</v>
      </c>
      <c r="I31" s="2"/>
      <c r="J31" s="6" t="s">
        <v>24</v>
      </c>
      <c r="K31" s="6" t="s">
        <v>24</v>
      </c>
      <c r="L31" s="6" t="s">
        <v>24</v>
      </c>
      <c r="M31" s="28"/>
      <c r="N31" s="28"/>
      <c r="O31" s="28"/>
      <c r="P31" s="82"/>
      <c r="Q31" s="67"/>
      <c r="R31" s="28"/>
      <c r="S31" s="20"/>
      <c r="T31" s="6" t="s">
        <v>25</v>
      </c>
      <c r="U31" s="6" t="s">
        <v>25</v>
      </c>
      <c r="V31" s="28"/>
      <c r="W31" s="9"/>
      <c r="X31" s="58" t="s">
        <v>24</v>
      </c>
      <c r="Y31" s="47" t="s">
        <v>24</v>
      </c>
    </row>
    <row r="32" spans="1:25" s="4" customFormat="1" ht="19.5">
      <c r="A32" s="3"/>
      <c r="B32" s="21" t="s">
        <v>46</v>
      </c>
      <c r="C32" s="7" t="s">
        <v>47</v>
      </c>
      <c r="D32" s="22"/>
      <c r="E32" s="76"/>
      <c r="F32" s="83"/>
      <c r="G32" s="29"/>
      <c r="H32" s="29"/>
      <c r="I32" s="30"/>
      <c r="J32" s="29"/>
      <c r="K32" s="29"/>
      <c r="L32" s="29"/>
      <c r="M32" s="24"/>
      <c r="N32" s="24"/>
      <c r="O32" s="24"/>
      <c r="P32" s="79"/>
      <c r="Q32" s="68"/>
      <c r="R32" s="24"/>
      <c r="S32" s="29"/>
      <c r="T32" s="31"/>
      <c r="U32" s="29"/>
      <c r="V32" s="24"/>
      <c r="W32" s="26"/>
      <c r="X32" s="59"/>
      <c r="Y32" s="26"/>
    </row>
    <row r="33" spans="1:25" s="4" customFormat="1" ht="20.25" thickBot="1">
      <c r="A33" s="3"/>
      <c r="B33" s="19" t="s">
        <v>46</v>
      </c>
      <c r="C33" s="8" t="s">
        <v>53</v>
      </c>
      <c r="D33" s="27"/>
      <c r="E33" s="77"/>
      <c r="F33" s="84"/>
      <c r="G33" s="32"/>
      <c r="H33" s="32"/>
      <c r="I33" s="2"/>
      <c r="J33" s="32"/>
      <c r="K33" s="32"/>
      <c r="L33" s="32"/>
      <c r="M33" s="28"/>
      <c r="N33" s="28"/>
      <c r="O33" s="28"/>
      <c r="P33" s="82"/>
      <c r="Q33" s="67"/>
      <c r="R33" s="28"/>
      <c r="S33" s="32"/>
      <c r="T33" s="33"/>
      <c r="U33" s="32"/>
      <c r="V33" s="28"/>
      <c r="W33" s="9"/>
      <c r="X33" s="60"/>
      <c r="Y33" s="9"/>
    </row>
    <row r="34" spans="1:25" s="4" customFormat="1" ht="20.25" thickBot="1">
      <c r="A34" s="3"/>
      <c r="B34" s="93" t="s">
        <v>90</v>
      </c>
      <c r="C34" s="94"/>
      <c r="D34" s="95"/>
      <c r="E34" s="96"/>
      <c r="F34" s="97"/>
      <c r="G34" s="95"/>
      <c r="H34" s="95"/>
      <c r="I34" s="98"/>
      <c r="J34" s="95"/>
      <c r="K34" s="95"/>
      <c r="L34" s="95"/>
      <c r="M34" s="99"/>
      <c r="N34" s="99"/>
      <c r="O34" s="99"/>
      <c r="P34" s="100"/>
      <c r="Q34" s="101"/>
      <c r="R34" s="99"/>
      <c r="S34" s="102"/>
      <c r="T34" s="95"/>
      <c r="U34" s="95"/>
      <c r="V34" s="99"/>
      <c r="W34" s="103"/>
      <c r="X34" s="104"/>
      <c r="Y34" s="105"/>
    </row>
    <row r="35" spans="1:25" s="4" customFormat="1" ht="20.25" thickBot="1">
      <c r="A35" s="3"/>
      <c r="B35" s="93" t="s">
        <v>91</v>
      </c>
      <c r="C35" s="94"/>
      <c r="D35" s="95"/>
      <c r="E35" s="96"/>
      <c r="F35" s="97"/>
      <c r="G35" s="95"/>
      <c r="H35" s="95"/>
      <c r="I35" s="98"/>
      <c r="J35" s="95"/>
      <c r="K35" s="95"/>
      <c r="L35" s="95"/>
      <c r="M35" s="99"/>
      <c r="N35" s="99"/>
      <c r="O35" s="99"/>
      <c r="P35" s="100"/>
      <c r="Q35" s="101"/>
      <c r="R35" s="99"/>
      <c r="S35" s="102"/>
      <c r="T35" s="95"/>
      <c r="U35" s="95"/>
      <c r="V35" s="99"/>
      <c r="W35" s="103"/>
      <c r="X35" s="104"/>
      <c r="Y35" s="105"/>
    </row>
    <row r="36" spans="1:25" s="4" customFormat="1" ht="20.25" thickBot="1">
      <c r="A36" s="3"/>
      <c r="B36" s="93" t="s">
        <v>92</v>
      </c>
      <c r="C36" s="94"/>
      <c r="D36" s="95"/>
      <c r="E36" s="96"/>
      <c r="F36" s="97"/>
      <c r="G36" s="95"/>
      <c r="H36" s="95"/>
      <c r="I36" s="98"/>
      <c r="J36" s="95"/>
      <c r="K36" s="95"/>
      <c r="L36" s="95"/>
      <c r="M36" s="99"/>
      <c r="N36" s="99"/>
      <c r="O36" s="99"/>
      <c r="P36" s="100"/>
      <c r="Q36" s="101"/>
      <c r="R36" s="99"/>
      <c r="S36" s="102"/>
      <c r="T36" s="95"/>
      <c r="U36" s="95"/>
      <c r="V36" s="99"/>
      <c r="W36" s="103"/>
      <c r="X36" s="104"/>
      <c r="Y36" s="105"/>
    </row>
    <row r="37" spans="1:25" s="4" customFormat="1" ht="20.25" thickBot="1">
      <c r="A37" s="3"/>
      <c r="B37" s="93" t="s">
        <v>93</v>
      </c>
      <c r="C37" s="94"/>
      <c r="D37" s="95"/>
      <c r="E37" s="96"/>
      <c r="F37" s="97"/>
      <c r="G37" s="95"/>
      <c r="H37" s="95"/>
      <c r="I37" s="98"/>
      <c r="J37" s="95"/>
      <c r="K37" s="95"/>
      <c r="L37" s="95"/>
      <c r="M37" s="99"/>
      <c r="N37" s="99"/>
      <c r="O37" s="99"/>
      <c r="P37" s="100"/>
      <c r="Q37" s="101"/>
      <c r="R37" s="99"/>
      <c r="S37" s="102"/>
      <c r="T37" s="95"/>
      <c r="U37" s="95"/>
      <c r="V37" s="99"/>
      <c r="W37" s="103"/>
      <c r="X37" s="104"/>
      <c r="Y37" s="105"/>
    </row>
    <row r="38" spans="1:25" s="4" customFormat="1" ht="20.25" thickBot="1">
      <c r="A38" s="3"/>
      <c r="B38" s="93" t="s">
        <v>94</v>
      </c>
      <c r="C38" s="94"/>
      <c r="D38" s="95"/>
      <c r="E38" s="96"/>
      <c r="F38" s="97"/>
      <c r="G38" s="95"/>
      <c r="H38" s="95"/>
      <c r="I38" s="98"/>
      <c r="J38" s="95"/>
      <c r="K38" s="95"/>
      <c r="L38" s="95"/>
      <c r="M38" s="99"/>
      <c r="N38" s="99"/>
      <c r="O38" s="99"/>
      <c r="P38" s="100"/>
      <c r="Q38" s="101"/>
      <c r="R38" s="99"/>
      <c r="S38" s="102"/>
      <c r="T38" s="95"/>
      <c r="U38" s="95"/>
      <c r="V38" s="99"/>
      <c r="W38" s="103"/>
      <c r="X38" s="104"/>
      <c r="Y38" s="105"/>
    </row>
    <row r="39" spans="1:25" s="4" customFormat="1" ht="20.25" thickBot="1">
      <c r="A39" s="3"/>
      <c r="B39" s="21" t="s">
        <v>69</v>
      </c>
      <c r="C39" s="23" t="s">
        <v>24</v>
      </c>
      <c r="D39" s="73" t="s">
        <v>33</v>
      </c>
      <c r="E39" s="73" t="s">
        <v>33</v>
      </c>
      <c r="F39" s="64" t="s">
        <v>33</v>
      </c>
      <c r="G39" s="23" t="s">
        <v>33</v>
      </c>
      <c r="H39" s="23" t="s">
        <v>33</v>
      </c>
      <c r="I39" s="30"/>
      <c r="J39" s="23" t="s">
        <v>33</v>
      </c>
      <c r="K39" s="23" t="s">
        <v>33</v>
      </c>
      <c r="L39" s="23" t="s">
        <v>33</v>
      </c>
      <c r="M39" s="24"/>
      <c r="N39" s="24"/>
      <c r="O39" s="24"/>
      <c r="P39" s="79"/>
      <c r="Q39" s="64" t="s">
        <v>33</v>
      </c>
      <c r="R39" s="24"/>
      <c r="S39" s="24"/>
      <c r="T39" s="25"/>
      <c r="U39" s="24"/>
      <c r="V39" s="24"/>
      <c r="W39" s="26"/>
      <c r="X39" s="59"/>
      <c r="Y39" s="26"/>
    </row>
    <row r="40" spans="1:25" s="4" customFormat="1" ht="20.25" thickBot="1">
      <c r="A40" s="3"/>
      <c r="B40" s="19" t="s">
        <v>69</v>
      </c>
      <c r="C40" s="6" t="s">
        <v>24</v>
      </c>
      <c r="D40" s="73" t="s">
        <v>33</v>
      </c>
      <c r="E40" s="75" t="s">
        <v>33</v>
      </c>
      <c r="F40" s="81" t="s">
        <v>33</v>
      </c>
      <c r="G40" s="6" t="s">
        <v>33</v>
      </c>
      <c r="H40" s="6" t="s">
        <v>33</v>
      </c>
      <c r="I40" s="2"/>
      <c r="J40" s="6" t="s">
        <v>33</v>
      </c>
      <c r="K40" s="6" t="s">
        <v>33</v>
      </c>
      <c r="L40" s="6" t="s">
        <v>33</v>
      </c>
      <c r="M40" s="28"/>
      <c r="N40" s="28"/>
      <c r="O40" s="28"/>
      <c r="P40" s="82"/>
      <c r="Q40" s="67"/>
      <c r="R40" s="6" t="s">
        <v>33</v>
      </c>
      <c r="S40" s="28"/>
      <c r="T40" s="20"/>
      <c r="U40" s="28"/>
      <c r="V40" s="28"/>
      <c r="W40" s="9"/>
      <c r="X40" s="60"/>
      <c r="Y40" s="9"/>
    </row>
    <row r="41" spans="1:25" ht="19.5">
      <c r="B41" s="21" t="s">
        <v>44</v>
      </c>
      <c r="C41" s="23" t="s">
        <v>24</v>
      </c>
      <c r="D41" s="23" t="s">
        <v>24</v>
      </c>
      <c r="E41" s="73" t="s">
        <v>24</v>
      </c>
      <c r="F41" s="64" t="s">
        <v>24</v>
      </c>
      <c r="G41" s="23" t="s">
        <v>24</v>
      </c>
      <c r="H41" s="23" t="s">
        <v>24</v>
      </c>
      <c r="I41" s="30"/>
      <c r="J41" s="23" t="s">
        <v>24</v>
      </c>
      <c r="K41" s="23" t="s">
        <v>24</v>
      </c>
      <c r="L41" s="30"/>
      <c r="M41" s="30"/>
      <c r="N41" s="30"/>
      <c r="O41" s="30"/>
      <c r="P41" s="85"/>
      <c r="Q41" s="64" t="s">
        <v>24</v>
      </c>
      <c r="R41" s="30"/>
      <c r="S41" s="30"/>
      <c r="T41" s="25"/>
      <c r="U41" s="30"/>
      <c r="V41" s="30"/>
      <c r="W41" s="26"/>
      <c r="X41" s="59"/>
      <c r="Y41" s="26"/>
    </row>
    <row r="42" spans="1:25" ht="19.5">
      <c r="B42" s="18" t="s">
        <v>44</v>
      </c>
      <c r="C42" s="12" t="s">
        <v>24</v>
      </c>
      <c r="D42" s="12" t="s">
        <v>24</v>
      </c>
      <c r="E42" s="74" t="s">
        <v>24</v>
      </c>
      <c r="F42" s="66" t="s">
        <v>24</v>
      </c>
      <c r="G42" s="12" t="s">
        <v>24</v>
      </c>
      <c r="H42" s="12" t="s">
        <v>24</v>
      </c>
      <c r="I42" s="14"/>
      <c r="J42" s="12" t="s">
        <v>24</v>
      </c>
      <c r="K42" s="12" t="s">
        <v>24</v>
      </c>
      <c r="L42" s="14"/>
      <c r="M42" s="14"/>
      <c r="N42" s="14"/>
      <c r="O42" s="14"/>
      <c r="P42" s="86"/>
      <c r="Q42" s="69"/>
      <c r="R42" s="12" t="s">
        <v>24</v>
      </c>
      <c r="S42" s="14"/>
      <c r="T42" s="17"/>
      <c r="U42" s="14"/>
      <c r="V42" s="14"/>
      <c r="W42" s="10"/>
      <c r="X42" s="61"/>
      <c r="Y42" s="10"/>
    </row>
    <row r="43" spans="1:25" ht="19.5">
      <c r="B43" s="18" t="s">
        <v>44</v>
      </c>
      <c r="C43" s="12" t="s">
        <v>24</v>
      </c>
      <c r="D43" s="12" t="s">
        <v>24</v>
      </c>
      <c r="E43" s="74" t="s">
        <v>24</v>
      </c>
      <c r="F43" s="66" t="s">
        <v>24</v>
      </c>
      <c r="G43" s="12" t="s">
        <v>24</v>
      </c>
      <c r="H43" s="12" t="s">
        <v>24</v>
      </c>
      <c r="I43" s="12" t="s">
        <v>24</v>
      </c>
      <c r="J43" s="14"/>
      <c r="K43" s="14"/>
      <c r="L43" s="14"/>
      <c r="M43" s="14"/>
      <c r="N43" s="12" t="s">
        <v>24</v>
      </c>
      <c r="O43" s="12" t="s">
        <v>24</v>
      </c>
      <c r="P43" s="86"/>
      <c r="Q43" s="66" t="s">
        <v>24</v>
      </c>
      <c r="R43" s="14"/>
      <c r="S43" s="14"/>
      <c r="T43" s="17"/>
      <c r="U43" s="14"/>
      <c r="V43" s="14"/>
      <c r="W43" s="10"/>
      <c r="X43" s="61"/>
      <c r="Y43" s="10"/>
    </row>
    <row r="44" spans="1:25" ht="19.5">
      <c r="B44" s="18" t="s">
        <v>44</v>
      </c>
      <c r="C44" s="12" t="s">
        <v>24</v>
      </c>
      <c r="D44" s="12" t="s">
        <v>24</v>
      </c>
      <c r="E44" s="74" t="s">
        <v>24</v>
      </c>
      <c r="F44" s="66" t="s">
        <v>24</v>
      </c>
      <c r="G44" s="12" t="s">
        <v>24</v>
      </c>
      <c r="H44" s="12" t="s">
        <v>24</v>
      </c>
      <c r="I44" s="12" t="s">
        <v>24</v>
      </c>
      <c r="J44" s="14"/>
      <c r="K44" s="14"/>
      <c r="L44" s="14"/>
      <c r="M44" s="14"/>
      <c r="N44" s="12" t="s">
        <v>24</v>
      </c>
      <c r="O44" s="12" t="s">
        <v>24</v>
      </c>
      <c r="P44" s="86"/>
      <c r="Q44" s="69"/>
      <c r="R44" s="12" t="s">
        <v>24</v>
      </c>
      <c r="S44" s="14"/>
      <c r="T44" s="17"/>
      <c r="U44" s="14"/>
      <c r="V44" s="14"/>
      <c r="W44" s="10"/>
      <c r="X44" s="61"/>
      <c r="Y44" s="10"/>
    </row>
    <row r="45" spans="1:25" s="4" customFormat="1" ht="19.5">
      <c r="A45" s="3"/>
      <c r="B45" s="18" t="s">
        <v>44</v>
      </c>
      <c r="C45" s="12" t="s">
        <v>24</v>
      </c>
      <c r="D45" s="12" t="s">
        <v>24</v>
      </c>
      <c r="E45" s="74" t="s">
        <v>24</v>
      </c>
      <c r="F45" s="66" t="s">
        <v>24</v>
      </c>
      <c r="G45" s="12" t="s">
        <v>24</v>
      </c>
      <c r="H45" s="12" t="s">
        <v>24</v>
      </c>
      <c r="I45" s="12" t="s">
        <v>24</v>
      </c>
      <c r="J45" s="12" t="s">
        <v>24</v>
      </c>
      <c r="K45" s="14"/>
      <c r="L45" s="14"/>
      <c r="M45" s="14"/>
      <c r="N45" s="14"/>
      <c r="O45" s="12" t="s">
        <v>24</v>
      </c>
      <c r="P45" s="86"/>
      <c r="Q45" s="66" t="s">
        <v>24</v>
      </c>
      <c r="R45" s="14"/>
      <c r="S45" s="14"/>
      <c r="T45" s="17"/>
      <c r="U45" s="14"/>
      <c r="V45" s="14"/>
      <c r="W45" s="10"/>
      <c r="X45" s="61"/>
      <c r="Y45" s="10"/>
    </row>
    <row r="46" spans="1:25" s="4" customFormat="1" ht="20.25" thickBot="1">
      <c r="A46" s="3"/>
      <c r="B46" s="19" t="s">
        <v>44</v>
      </c>
      <c r="C46" s="6" t="s">
        <v>24</v>
      </c>
      <c r="D46" s="6" t="s">
        <v>24</v>
      </c>
      <c r="E46" s="75" t="s">
        <v>24</v>
      </c>
      <c r="F46" s="81" t="s">
        <v>24</v>
      </c>
      <c r="G46" s="6" t="s">
        <v>24</v>
      </c>
      <c r="H46" s="6" t="s">
        <v>24</v>
      </c>
      <c r="I46" s="6" t="s">
        <v>24</v>
      </c>
      <c r="J46" s="6" t="s">
        <v>24</v>
      </c>
      <c r="K46" s="2"/>
      <c r="L46" s="2"/>
      <c r="M46" s="2"/>
      <c r="N46" s="2"/>
      <c r="O46" s="6" t="s">
        <v>24</v>
      </c>
      <c r="P46" s="87"/>
      <c r="Q46" s="70"/>
      <c r="R46" s="6" t="s">
        <v>24</v>
      </c>
      <c r="S46" s="2"/>
      <c r="T46" s="20"/>
      <c r="U46" s="2"/>
      <c r="V46" s="2"/>
      <c r="W46" s="9"/>
      <c r="X46" s="60"/>
      <c r="Y46" s="9"/>
    </row>
    <row r="47" spans="1:25" ht="19.5">
      <c r="B47" s="21" t="s">
        <v>52</v>
      </c>
      <c r="C47" s="30"/>
      <c r="D47" s="30"/>
      <c r="E47" s="53"/>
      <c r="F47" s="64" t="s">
        <v>24</v>
      </c>
      <c r="G47" s="30"/>
      <c r="H47" s="30"/>
      <c r="I47" s="30"/>
      <c r="J47" s="23" t="s">
        <v>24</v>
      </c>
      <c r="K47" s="30"/>
      <c r="L47" s="30"/>
      <c r="M47" s="30"/>
      <c r="N47" s="30"/>
      <c r="O47" s="30"/>
      <c r="P47" s="85"/>
      <c r="Q47" s="71"/>
      <c r="R47" s="30"/>
      <c r="S47" s="30"/>
      <c r="T47" s="25"/>
      <c r="U47" s="23" t="s">
        <v>24</v>
      </c>
      <c r="V47" s="30"/>
      <c r="W47" s="26"/>
      <c r="X47" s="59"/>
      <c r="Y47" s="26"/>
    </row>
    <row r="48" spans="1:25" ht="19.5">
      <c r="B48" s="18" t="s">
        <v>52</v>
      </c>
      <c r="C48" s="14"/>
      <c r="D48" s="14"/>
      <c r="E48" s="54"/>
      <c r="F48" s="66" t="s">
        <v>24</v>
      </c>
      <c r="G48" s="14"/>
      <c r="H48" s="14"/>
      <c r="I48" s="14"/>
      <c r="J48" s="12" t="s">
        <v>24</v>
      </c>
      <c r="K48" s="14"/>
      <c r="L48" s="14"/>
      <c r="M48" s="14"/>
      <c r="N48" s="14"/>
      <c r="O48" s="14"/>
      <c r="P48" s="86"/>
      <c r="Q48" s="69"/>
      <c r="R48" s="14"/>
      <c r="S48" s="14"/>
      <c r="T48" s="17"/>
      <c r="U48" s="14"/>
      <c r="V48" s="12" t="s">
        <v>24</v>
      </c>
      <c r="W48" s="10"/>
      <c r="X48" s="61"/>
      <c r="Y48" s="10"/>
    </row>
    <row r="49" spans="1:25" s="4" customFormat="1" ht="19.5">
      <c r="A49" s="3"/>
      <c r="B49" s="18" t="s">
        <v>52</v>
      </c>
      <c r="C49" s="14"/>
      <c r="D49" s="14"/>
      <c r="E49" s="54"/>
      <c r="F49" s="66" t="s">
        <v>24</v>
      </c>
      <c r="G49" s="14"/>
      <c r="H49" s="14"/>
      <c r="I49" s="14"/>
      <c r="J49" s="12" t="s">
        <v>24</v>
      </c>
      <c r="K49" s="14"/>
      <c r="L49" s="14"/>
      <c r="M49" s="14"/>
      <c r="N49" s="14"/>
      <c r="O49" s="14"/>
      <c r="P49" s="86"/>
      <c r="Q49" s="69"/>
      <c r="R49" s="14"/>
      <c r="S49" s="14"/>
      <c r="T49" s="17"/>
      <c r="U49" s="12" t="s">
        <v>24</v>
      </c>
      <c r="V49" s="14"/>
      <c r="W49" s="10"/>
      <c r="X49" s="61"/>
      <c r="Y49" s="10"/>
    </row>
    <row r="50" spans="1:25" s="4" customFormat="1" ht="20.25" thickBot="1">
      <c r="A50" s="3"/>
      <c r="B50" s="19" t="s">
        <v>52</v>
      </c>
      <c r="C50" s="2"/>
      <c r="D50" s="2"/>
      <c r="E50" s="55"/>
      <c r="F50" s="81" t="s">
        <v>24</v>
      </c>
      <c r="G50" s="2"/>
      <c r="H50" s="2"/>
      <c r="I50" s="2"/>
      <c r="J50" s="6" t="s">
        <v>24</v>
      </c>
      <c r="K50" s="2"/>
      <c r="L50" s="2"/>
      <c r="M50" s="2"/>
      <c r="N50" s="2"/>
      <c r="O50" s="2"/>
      <c r="P50" s="87"/>
      <c r="Q50" s="70"/>
      <c r="R50" s="2"/>
      <c r="S50" s="2"/>
      <c r="T50" s="20"/>
      <c r="U50" s="2"/>
      <c r="V50" s="6" t="s">
        <v>24</v>
      </c>
      <c r="W50" s="9"/>
      <c r="X50" s="60"/>
      <c r="Y50" s="9"/>
    </row>
  </sheetData>
  <phoneticPr fontId="2" type="noConversion"/>
  <pageMargins left="0.7" right="0.7" top="0.75" bottom="0.75" header="0.3" footer="0.3"/>
  <pageSetup paperSize="9" scale="89"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218C5-D96F-43EB-9352-F798C147B1EC}">
  <sheetPr codeName="Sheet2"/>
  <dimension ref="A1:W24"/>
  <sheetViews>
    <sheetView workbookViewId="0">
      <selection activeCell="N30" sqref="N30"/>
    </sheetView>
  </sheetViews>
  <sheetFormatPr defaultRowHeight="15"/>
  <cols>
    <col min="1" max="1" width="8.5703125" bestFit="1" customWidth="1"/>
    <col min="2" max="2" width="7.140625" bestFit="1" customWidth="1"/>
    <col min="3" max="3" width="6.42578125" bestFit="1" customWidth="1"/>
    <col min="4" max="4" width="9.42578125" bestFit="1" customWidth="1"/>
    <col min="5" max="5" width="5.85546875" bestFit="1" customWidth="1"/>
    <col min="6" max="6" width="6" bestFit="1" customWidth="1"/>
    <col min="7" max="7" width="3" bestFit="1" customWidth="1"/>
    <col min="8" max="8" width="3.140625" bestFit="1" customWidth="1"/>
    <col min="9" max="9" width="7" bestFit="1" customWidth="1"/>
    <col min="10" max="10" width="12" bestFit="1" customWidth="1"/>
    <col min="11" max="11" width="3" bestFit="1" customWidth="1"/>
    <col min="12" max="12" width="3.140625" bestFit="1" customWidth="1"/>
    <col min="13" max="13" width="6.140625" bestFit="1" customWidth="1"/>
    <col min="14" max="14" width="4" bestFit="1" customWidth="1"/>
    <col min="15" max="15" width="7.5703125" bestFit="1" customWidth="1"/>
    <col min="16" max="16" width="5.28515625" bestFit="1" customWidth="1"/>
    <col min="17" max="17" width="5.5703125" bestFit="1" customWidth="1"/>
    <col min="18" max="18" width="9" bestFit="1" customWidth="1"/>
    <col min="19" max="19" width="4.5703125" bestFit="1" customWidth="1"/>
    <col min="20" max="20" width="5.5703125" bestFit="1" customWidth="1"/>
    <col min="21" max="21" width="4.5703125" bestFit="1" customWidth="1"/>
    <col min="22" max="22" width="3.140625" bestFit="1" customWidth="1"/>
    <col min="23" max="23" width="5.140625" bestFit="1" customWidth="1"/>
  </cols>
  <sheetData>
    <row r="1" spans="1:23">
      <c r="A1" s="111" t="s">
        <v>22</v>
      </c>
      <c r="B1" s="111" t="s">
        <v>17</v>
      </c>
      <c r="C1" s="111" t="s">
        <v>1</v>
      </c>
      <c r="D1" s="111" t="s">
        <v>2</v>
      </c>
      <c r="E1" s="111" t="s">
        <v>3</v>
      </c>
      <c r="F1" s="111" t="s">
        <v>4</v>
      </c>
      <c r="G1" s="111" t="s">
        <v>5</v>
      </c>
      <c r="H1" s="111" t="s">
        <v>20</v>
      </c>
      <c r="I1" s="111" t="s">
        <v>6</v>
      </c>
      <c r="J1" s="111" t="s">
        <v>7</v>
      </c>
      <c r="K1" s="111" t="s">
        <v>8</v>
      </c>
      <c r="L1" s="111" t="s">
        <v>21</v>
      </c>
      <c r="M1" s="111" t="s">
        <v>18</v>
      </c>
      <c r="N1" s="111" t="s">
        <v>19</v>
      </c>
      <c r="O1" s="111" t="s">
        <v>23</v>
      </c>
      <c r="P1" s="111" t="s">
        <v>34</v>
      </c>
      <c r="Q1" s="111" t="s">
        <v>38</v>
      </c>
      <c r="R1" s="111" t="s">
        <v>36</v>
      </c>
      <c r="S1" s="111" t="s">
        <v>97</v>
      </c>
      <c r="T1" s="111" t="s">
        <v>37</v>
      </c>
      <c r="U1" s="111" t="s">
        <v>95</v>
      </c>
      <c r="V1" s="111" t="s">
        <v>40</v>
      </c>
      <c r="W1" s="111" t="s">
        <v>39</v>
      </c>
    </row>
    <row r="2" spans="1:23">
      <c r="A2" s="111" t="s">
        <v>10</v>
      </c>
      <c r="B2" s="111" t="s">
        <v>10</v>
      </c>
      <c r="C2" s="111" t="s">
        <v>54</v>
      </c>
      <c r="D2" s="111" t="s">
        <v>55</v>
      </c>
      <c r="E2" s="111" t="s">
        <v>63</v>
      </c>
      <c r="F2" s="111" t="s">
        <v>101</v>
      </c>
      <c r="G2" s="111" t="s">
        <v>10</v>
      </c>
      <c r="H2" s="111" t="s">
        <v>10</v>
      </c>
      <c r="I2" s="111" t="s">
        <v>63</v>
      </c>
      <c r="J2" s="111" t="s">
        <v>101</v>
      </c>
      <c r="K2" s="111" t="s">
        <v>10</v>
      </c>
      <c r="L2" s="111" t="s">
        <v>10</v>
      </c>
      <c r="M2" s="111" t="s">
        <v>57</v>
      </c>
      <c r="N2" s="111" t="s">
        <v>11</v>
      </c>
      <c r="O2" s="111" t="s">
        <v>58</v>
      </c>
      <c r="P2" s="111" t="s">
        <v>59</v>
      </c>
      <c r="Q2" s="111" t="s">
        <v>99</v>
      </c>
      <c r="R2" s="111" t="s">
        <v>60</v>
      </c>
      <c r="S2" s="111" t="s">
        <v>61</v>
      </c>
      <c r="T2" s="111" t="s">
        <v>99</v>
      </c>
      <c r="U2" s="111" t="s">
        <v>61</v>
      </c>
      <c r="V2" s="111" t="s">
        <v>10</v>
      </c>
      <c r="W2" s="111" t="s">
        <v>45</v>
      </c>
    </row>
    <row r="3" spans="1:23">
      <c r="A3" s="11" t="s">
        <v>42</v>
      </c>
      <c r="B3" s="11" t="s">
        <v>96</v>
      </c>
      <c r="C3" s="11">
        <v>11301</v>
      </c>
      <c r="D3" s="11">
        <v>19.78</v>
      </c>
      <c r="E3" s="11">
        <v>1.99</v>
      </c>
      <c r="F3" s="11">
        <v>49.41</v>
      </c>
      <c r="G3" s="11">
        <v>1</v>
      </c>
      <c r="H3" s="11"/>
      <c r="I3" s="11">
        <v>6.29</v>
      </c>
      <c r="J3" s="11">
        <v>156</v>
      </c>
      <c r="K3" s="11">
        <v>1</v>
      </c>
      <c r="L3" s="11"/>
      <c r="M3" s="11"/>
      <c r="N3" s="107"/>
      <c r="O3" s="11"/>
      <c r="P3" s="11">
        <v>3</v>
      </c>
      <c r="Q3" s="11"/>
      <c r="R3" s="11"/>
      <c r="S3" s="11">
        <v>25</v>
      </c>
      <c r="T3" s="107"/>
      <c r="U3" s="11"/>
      <c r="V3" s="11"/>
      <c r="W3" s="11"/>
    </row>
    <row r="4" spans="1:23">
      <c r="A4" s="11" t="s">
        <v>69</v>
      </c>
      <c r="B4" s="11" t="s">
        <v>62</v>
      </c>
      <c r="C4" s="11">
        <v>11769</v>
      </c>
      <c r="D4" s="11">
        <v>19.78</v>
      </c>
      <c r="E4" s="11">
        <v>1.99</v>
      </c>
      <c r="F4" s="11">
        <v>49.41</v>
      </c>
      <c r="G4" s="107"/>
      <c r="H4" s="11"/>
      <c r="I4" s="11">
        <v>6.37</v>
      </c>
      <c r="J4" s="11">
        <v>161</v>
      </c>
      <c r="K4" s="11"/>
      <c r="L4" s="11"/>
      <c r="M4" s="11"/>
      <c r="N4" s="11"/>
      <c r="O4" s="11"/>
      <c r="P4" s="11">
        <v>2.5499999999999998</v>
      </c>
      <c r="Q4" s="11"/>
      <c r="R4" s="11"/>
      <c r="S4" s="11"/>
      <c r="T4" s="107"/>
      <c r="U4" s="11"/>
      <c r="V4" s="11"/>
      <c r="W4" s="11"/>
    </row>
    <row r="5" spans="1:23">
      <c r="A5" s="11" t="s">
        <v>69</v>
      </c>
      <c r="B5" s="11" t="s">
        <v>89</v>
      </c>
      <c r="C5" s="11">
        <v>10938</v>
      </c>
      <c r="D5" s="11">
        <v>19.07</v>
      </c>
      <c r="E5" s="11">
        <v>1.99</v>
      </c>
      <c r="F5" s="11">
        <v>9.4499999999999993</v>
      </c>
      <c r="G5" s="107"/>
      <c r="H5" s="11"/>
      <c r="I5" s="11">
        <v>6.37</v>
      </c>
      <c r="J5" s="11">
        <v>114</v>
      </c>
      <c r="K5" s="11"/>
      <c r="L5" s="11"/>
      <c r="M5" s="11"/>
      <c r="N5" s="11"/>
      <c r="O5" s="11"/>
      <c r="P5" s="11">
        <v>2.5499999999999998</v>
      </c>
      <c r="Q5" s="11"/>
      <c r="R5" s="11"/>
      <c r="S5" s="11"/>
      <c r="T5" s="107"/>
      <c r="U5" s="11"/>
      <c r="V5" s="11"/>
      <c r="W5" s="11"/>
    </row>
    <row r="6" spans="1:23">
      <c r="A6" s="111" t="s">
        <v>44</v>
      </c>
      <c r="B6" s="111" t="s">
        <v>62</v>
      </c>
      <c r="C6" s="111">
        <v>11043</v>
      </c>
      <c r="D6" s="111">
        <v>19.78</v>
      </c>
      <c r="E6" s="111">
        <v>1.99</v>
      </c>
      <c r="F6" s="111">
        <v>49.41</v>
      </c>
      <c r="G6" s="111"/>
      <c r="H6" s="111"/>
      <c r="I6" s="111">
        <v>6.88</v>
      </c>
      <c r="J6" s="111">
        <v>177.77705306642724</v>
      </c>
      <c r="K6" s="111"/>
      <c r="L6" s="111"/>
      <c r="M6" s="111"/>
      <c r="N6" s="111"/>
      <c r="O6" s="111"/>
      <c r="P6" s="111"/>
      <c r="Q6" s="111"/>
      <c r="R6" s="111">
        <v>5211.5389999999998</v>
      </c>
      <c r="S6" s="111"/>
      <c r="T6" s="111"/>
      <c r="U6" s="111"/>
      <c r="V6" s="111"/>
      <c r="W6" s="111"/>
    </row>
    <row r="7" spans="1:23">
      <c r="A7" s="11" t="s">
        <v>44</v>
      </c>
      <c r="B7" s="11" t="s">
        <v>88</v>
      </c>
      <c r="C7" s="11">
        <v>11043</v>
      </c>
      <c r="D7" s="11">
        <v>19.78</v>
      </c>
      <c r="E7" s="11">
        <v>1.99</v>
      </c>
      <c r="F7" s="11">
        <v>49.41</v>
      </c>
      <c r="G7" s="107"/>
      <c r="H7" s="11"/>
      <c r="I7" s="11">
        <v>6.75</v>
      </c>
      <c r="J7" s="11">
        <v>171.63267557386195</v>
      </c>
      <c r="K7" s="11"/>
      <c r="L7" s="11"/>
      <c r="M7" s="11"/>
      <c r="N7" s="11"/>
      <c r="O7" s="11"/>
      <c r="P7" s="11"/>
      <c r="Q7" s="11"/>
      <c r="R7" s="11">
        <v>6000</v>
      </c>
      <c r="S7" s="11"/>
      <c r="T7" s="107"/>
      <c r="U7" s="11"/>
      <c r="V7" s="11"/>
      <c r="W7" s="11"/>
    </row>
    <row r="8" spans="1:23">
      <c r="A8" s="11" t="s">
        <v>44</v>
      </c>
      <c r="B8" s="11" t="s">
        <v>88</v>
      </c>
      <c r="C8" s="11">
        <v>11043</v>
      </c>
      <c r="D8" s="11">
        <v>19.78</v>
      </c>
      <c r="E8" s="11">
        <v>1.99</v>
      </c>
      <c r="F8" s="11">
        <v>49.41</v>
      </c>
      <c r="G8" s="107"/>
      <c r="H8" s="11"/>
      <c r="I8" s="11">
        <v>6.37</v>
      </c>
      <c r="J8" s="11">
        <v>164.90462930807428</v>
      </c>
      <c r="K8" s="11"/>
      <c r="L8" s="11"/>
      <c r="M8" s="11"/>
      <c r="N8" s="11"/>
      <c r="O8" s="11"/>
      <c r="P8" s="11"/>
      <c r="Q8" s="11"/>
      <c r="R8" s="11">
        <v>6730.77</v>
      </c>
      <c r="S8" s="11"/>
      <c r="T8" s="107"/>
      <c r="U8" s="11"/>
      <c r="V8" s="11"/>
      <c r="W8" s="11"/>
    </row>
    <row r="9" spans="1:23">
      <c r="A9" s="11" t="s">
        <v>44</v>
      </c>
      <c r="B9" s="11" t="s">
        <v>88</v>
      </c>
      <c r="C9" s="11">
        <v>11043</v>
      </c>
      <c r="D9" s="11">
        <v>19.78</v>
      </c>
      <c r="E9" s="11">
        <v>1.99</v>
      </c>
      <c r="F9" s="11">
        <v>49.41</v>
      </c>
      <c r="G9" s="107"/>
      <c r="H9" s="11"/>
      <c r="I9" s="11">
        <v>5.66</v>
      </c>
      <c r="J9" s="11">
        <v>154.62164184139704</v>
      </c>
      <c r="K9" s="11"/>
      <c r="L9" s="11"/>
      <c r="M9" s="11"/>
      <c r="N9" s="11"/>
      <c r="O9" s="11"/>
      <c r="P9" s="11"/>
      <c r="Q9" s="11"/>
      <c r="R9" s="11">
        <v>7488.7659999999996</v>
      </c>
      <c r="S9" s="11"/>
      <c r="T9" s="107"/>
      <c r="U9" s="11"/>
      <c r="V9" s="11"/>
      <c r="W9" s="11"/>
    </row>
    <row r="10" spans="1:23">
      <c r="A10" s="11" t="s">
        <v>44</v>
      </c>
      <c r="B10" s="11" t="s">
        <v>88</v>
      </c>
      <c r="C10" s="11">
        <v>11043</v>
      </c>
      <c r="D10" s="11">
        <v>19.78</v>
      </c>
      <c r="E10" s="11">
        <v>1.99</v>
      </c>
      <c r="F10" s="11">
        <v>49.41</v>
      </c>
      <c r="G10" s="107"/>
      <c r="H10" s="11"/>
      <c r="I10" s="11">
        <v>4.82</v>
      </c>
      <c r="J10" s="11">
        <v>145.05762568988388</v>
      </c>
      <c r="K10" s="11"/>
      <c r="L10" s="11"/>
      <c r="M10" s="11"/>
      <c r="N10" s="11"/>
      <c r="O10" s="11"/>
      <c r="P10" s="11"/>
      <c r="Q10" s="11"/>
      <c r="R10" s="11">
        <v>7961.54</v>
      </c>
      <c r="S10" s="11"/>
      <c r="T10" s="107"/>
      <c r="U10" s="11"/>
      <c r="V10" s="11"/>
      <c r="W10" s="11"/>
    </row>
    <row r="11" spans="1:23">
      <c r="A11" s="111" t="s">
        <v>44</v>
      </c>
      <c r="B11" s="111" t="s">
        <v>88</v>
      </c>
      <c r="C11" s="111">
        <v>10938</v>
      </c>
      <c r="D11" s="111">
        <v>19.07</v>
      </c>
      <c r="E11" s="111">
        <v>1.99</v>
      </c>
      <c r="F11" s="111">
        <v>9.4499999999999993</v>
      </c>
      <c r="G11" s="111"/>
      <c r="H11" s="111"/>
      <c r="I11" s="111">
        <v>3.944</v>
      </c>
      <c r="J11" s="111">
        <v>69.943019829635148</v>
      </c>
      <c r="K11" s="111"/>
      <c r="L11" s="111"/>
      <c r="M11" s="111"/>
      <c r="N11" s="111"/>
      <c r="O11" s="111"/>
      <c r="P11" s="111"/>
      <c r="Q11" s="111"/>
      <c r="R11" s="111">
        <v>3941.212</v>
      </c>
      <c r="S11" s="111"/>
      <c r="T11" s="111"/>
      <c r="U11" s="111"/>
      <c r="V11" s="111"/>
      <c r="W11" s="111"/>
    </row>
    <row r="12" spans="1:23">
      <c r="A12" s="11" t="s">
        <v>44</v>
      </c>
      <c r="B12" s="11" t="s">
        <v>88</v>
      </c>
      <c r="C12" s="11">
        <v>10938</v>
      </c>
      <c r="D12" s="11">
        <v>19.07</v>
      </c>
      <c r="E12" s="11">
        <v>1.99</v>
      </c>
      <c r="F12" s="11">
        <v>9.4499999999999993</v>
      </c>
      <c r="G12" s="107"/>
      <c r="H12" s="11"/>
      <c r="I12" s="11">
        <v>3.83</v>
      </c>
      <c r="J12" s="11">
        <v>67.323951311381677</v>
      </c>
      <c r="K12" s="11"/>
      <c r="L12" s="11"/>
      <c r="M12" s="11"/>
      <c r="N12" s="11"/>
      <c r="O12" s="11"/>
      <c r="P12" s="11"/>
      <c r="Q12" s="11"/>
      <c r="R12" s="11">
        <v>4300.8059999999996</v>
      </c>
      <c r="S12" s="11"/>
      <c r="T12" s="107"/>
      <c r="U12" s="11"/>
      <c r="V12" s="11"/>
      <c r="W12" s="11"/>
    </row>
    <row r="13" spans="1:23">
      <c r="A13" s="11" t="s">
        <v>44</v>
      </c>
      <c r="B13" s="11" t="s">
        <v>88</v>
      </c>
      <c r="C13" s="11">
        <v>10938</v>
      </c>
      <c r="D13" s="11">
        <v>19.07</v>
      </c>
      <c r="E13" s="11">
        <v>1.99</v>
      </c>
      <c r="F13" s="11">
        <v>9.4499999999999993</v>
      </c>
      <c r="G13" s="107"/>
      <c r="H13" s="11"/>
      <c r="I13" s="11">
        <v>3.722</v>
      </c>
      <c r="J13" s="11">
        <v>65.327894083956494</v>
      </c>
      <c r="K13" s="11"/>
      <c r="L13" s="11"/>
      <c r="M13" s="11"/>
      <c r="N13" s="11"/>
      <c r="O13" s="11"/>
      <c r="P13" s="11"/>
      <c r="Q13" s="11"/>
      <c r="R13" s="11">
        <v>4498.5829999999996</v>
      </c>
      <c r="S13" s="11"/>
      <c r="T13" s="107"/>
      <c r="U13" s="11"/>
      <c r="V13" s="11"/>
      <c r="W13" s="11"/>
    </row>
    <row r="14" spans="1:23">
      <c r="A14" s="11" t="s">
        <v>44</v>
      </c>
      <c r="B14" s="11" t="s">
        <v>88</v>
      </c>
      <c r="C14" s="11">
        <v>10938</v>
      </c>
      <c r="D14" s="11">
        <v>19.07</v>
      </c>
      <c r="E14" s="11">
        <v>1.99</v>
      </c>
      <c r="F14" s="11">
        <v>9.4499999999999993</v>
      </c>
      <c r="G14" s="107"/>
      <c r="H14" s="11"/>
      <c r="I14" s="11">
        <v>3.4815</v>
      </c>
      <c r="J14" s="11">
        <v>61.850063960889884</v>
      </c>
      <c r="K14" s="11"/>
      <c r="L14" s="11"/>
      <c r="M14" s="11"/>
      <c r="N14" s="11"/>
      <c r="O14" s="11"/>
      <c r="P14" s="11"/>
      <c r="Q14" s="11"/>
      <c r="R14" s="11">
        <v>4858.1769999999997</v>
      </c>
      <c r="S14" s="11"/>
      <c r="T14" s="107"/>
      <c r="U14" s="11"/>
      <c r="V14" s="11"/>
      <c r="W14" s="11"/>
    </row>
    <row r="15" spans="1:23">
      <c r="A15" s="111" t="s">
        <v>44</v>
      </c>
      <c r="B15" s="111" t="s">
        <v>89</v>
      </c>
      <c r="C15" s="111">
        <v>10938</v>
      </c>
      <c r="D15" s="111">
        <v>19.07</v>
      </c>
      <c r="E15" s="111">
        <v>1.99</v>
      </c>
      <c r="F15" s="111">
        <v>9.4499999999999993</v>
      </c>
      <c r="G15" s="111"/>
      <c r="H15" s="111"/>
      <c r="I15" s="111">
        <v>7.37</v>
      </c>
      <c r="J15" s="111">
        <v>139.11577550216958</v>
      </c>
      <c r="K15" s="111"/>
      <c r="L15" s="111"/>
      <c r="M15" s="111"/>
      <c r="N15" s="111"/>
      <c r="O15" s="111"/>
      <c r="P15" s="111"/>
      <c r="Q15" s="111"/>
      <c r="R15" s="111">
        <v>5269.87</v>
      </c>
      <c r="S15" s="111"/>
      <c r="T15" s="111"/>
      <c r="U15" s="111"/>
      <c r="V15" s="111"/>
      <c r="W15" s="111"/>
    </row>
    <row r="16" spans="1:23">
      <c r="A16" s="11" t="s">
        <v>44</v>
      </c>
      <c r="B16" s="11" t="s">
        <v>89</v>
      </c>
      <c r="C16" s="11">
        <v>10938</v>
      </c>
      <c r="D16" s="11">
        <v>19.07</v>
      </c>
      <c r="E16" s="11">
        <v>1.99</v>
      </c>
      <c r="F16" s="11">
        <v>9.4499999999999993</v>
      </c>
      <c r="G16" s="11"/>
      <c r="H16" s="11"/>
      <c r="I16" s="11">
        <v>6.9859999999999998</v>
      </c>
      <c r="J16" s="11">
        <v>128.83054731531166</v>
      </c>
      <c r="K16" s="11"/>
      <c r="L16" s="11"/>
      <c r="M16" s="11"/>
      <c r="N16" s="11"/>
      <c r="O16" s="11"/>
      <c r="P16" s="11"/>
      <c r="Q16" s="11"/>
      <c r="R16" s="11">
        <v>6496.5870000000004</v>
      </c>
      <c r="S16" s="11"/>
      <c r="T16" s="11"/>
      <c r="U16" s="11"/>
      <c r="V16" s="11"/>
      <c r="W16" s="11"/>
    </row>
    <row r="17" spans="1:23">
      <c r="A17" s="11" t="s">
        <v>44</v>
      </c>
      <c r="B17" s="11" t="s">
        <v>89</v>
      </c>
      <c r="C17" s="11">
        <v>10938</v>
      </c>
      <c r="D17" s="11">
        <v>19.07</v>
      </c>
      <c r="E17" s="11">
        <v>1.99</v>
      </c>
      <c r="F17" s="11">
        <v>9.4499999999999993</v>
      </c>
      <c r="G17" s="11"/>
      <c r="H17" s="11"/>
      <c r="I17" s="11">
        <v>6.6180000000000003</v>
      </c>
      <c r="J17" s="11">
        <v>123.67271205957445</v>
      </c>
      <c r="K17" s="11"/>
      <c r="L17" s="11"/>
      <c r="M17" s="11"/>
      <c r="N17" s="11"/>
      <c r="O17" s="11"/>
      <c r="P17" s="11"/>
      <c r="Q17" s="11"/>
      <c r="R17" s="11">
        <v>6983.6670000000004</v>
      </c>
      <c r="S17" s="11"/>
      <c r="T17" s="11"/>
      <c r="U17" s="11"/>
      <c r="V17" s="11"/>
      <c r="W17" s="11"/>
    </row>
    <row r="18" spans="1:23">
      <c r="A18" s="11" t="s">
        <v>44</v>
      </c>
      <c r="B18" s="11" t="s">
        <v>89</v>
      </c>
      <c r="C18" s="11">
        <v>10938</v>
      </c>
      <c r="D18" s="11">
        <v>19.07</v>
      </c>
      <c r="E18" s="11">
        <v>1.99</v>
      </c>
      <c r="F18" s="11">
        <v>9.4499999999999993</v>
      </c>
      <c r="G18" s="11"/>
      <c r="H18" s="11"/>
      <c r="I18" s="11">
        <v>6.36</v>
      </c>
      <c r="J18" s="11">
        <v>120.23293632584921</v>
      </c>
      <c r="K18" s="11"/>
      <c r="L18" s="11"/>
      <c r="M18" s="11"/>
      <c r="N18" s="11"/>
      <c r="O18" s="11"/>
      <c r="P18" s="11"/>
      <c r="Q18" s="11"/>
      <c r="R18" s="11">
        <v>7236.2259999999997</v>
      </c>
      <c r="S18" s="11"/>
      <c r="T18" s="11"/>
      <c r="U18" s="11"/>
      <c r="V18" s="11"/>
      <c r="W18" s="11"/>
    </row>
    <row r="19" spans="1:23">
      <c r="A19" s="11" t="s">
        <v>44</v>
      </c>
      <c r="B19" s="11" t="s">
        <v>89</v>
      </c>
      <c r="C19" s="11">
        <v>10938</v>
      </c>
      <c r="D19" s="11">
        <v>19.07</v>
      </c>
      <c r="E19" s="11">
        <v>1.99</v>
      </c>
      <c r="F19" s="11">
        <v>9.4499999999999993</v>
      </c>
      <c r="G19" s="11"/>
      <c r="H19" s="11"/>
      <c r="I19" s="11">
        <v>5.1079999999999997</v>
      </c>
      <c r="J19" s="11">
        <v>106.96094249059081</v>
      </c>
      <c r="K19" s="11"/>
      <c r="L19" s="11"/>
      <c r="M19" s="11"/>
      <c r="N19" s="11"/>
      <c r="O19" s="11"/>
      <c r="P19" s="11"/>
      <c r="Q19" s="11"/>
      <c r="R19" s="11">
        <v>7939.7849999999999</v>
      </c>
      <c r="S19" s="11"/>
      <c r="T19" s="11"/>
      <c r="U19" s="11"/>
      <c r="V19" s="11"/>
      <c r="W19" s="11"/>
    </row>
    <row r="20" spans="1:23">
      <c r="A20" s="111" t="s">
        <v>44</v>
      </c>
      <c r="B20" s="111" t="s">
        <v>89</v>
      </c>
      <c r="C20" s="111">
        <v>10406</v>
      </c>
      <c r="D20" s="111">
        <v>19.07</v>
      </c>
      <c r="E20" s="111">
        <v>1.99</v>
      </c>
      <c r="F20" s="111">
        <v>9.4499999999999993</v>
      </c>
      <c r="G20" s="111"/>
      <c r="H20" s="111"/>
      <c r="I20" s="111">
        <v>5.97</v>
      </c>
      <c r="J20" s="111">
        <v>115.84492701894345</v>
      </c>
      <c r="K20" s="111"/>
      <c r="L20" s="111"/>
      <c r="M20" s="111"/>
      <c r="N20" s="111"/>
      <c r="O20" s="111"/>
      <c r="P20" s="111"/>
      <c r="Q20" s="111"/>
      <c r="R20" s="111">
        <v>4770.4120000000003</v>
      </c>
      <c r="S20" s="111"/>
      <c r="T20" s="111"/>
      <c r="U20" s="111"/>
      <c r="V20" s="111"/>
      <c r="W20" s="111"/>
    </row>
    <row r="21" spans="1:23">
      <c r="A21" s="11" t="s">
        <v>44</v>
      </c>
      <c r="B21" s="11" t="s">
        <v>89</v>
      </c>
      <c r="C21" s="11">
        <v>10406</v>
      </c>
      <c r="D21" s="11">
        <v>19.07</v>
      </c>
      <c r="E21" s="11">
        <v>1.99</v>
      </c>
      <c r="F21" s="11">
        <v>9.4499999999999993</v>
      </c>
      <c r="G21" s="11"/>
      <c r="H21" s="11"/>
      <c r="I21" s="11">
        <v>5.74</v>
      </c>
      <c r="J21" s="11">
        <v>108.35982555679141</v>
      </c>
      <c r="K21" s="11"/>
      <c r="L21" s="11"/>
      <c r="M21" s="11"/>
      <c r="N21" s="11"/>
      <c r="O21" s="11"/>
      <c r="P21" s="11"/>
      <c r="Q21" s="11"/>
      <c r="R21" s="11">
        <v>5836.1639999999998</v>
      </c>
      <c r="S21" s="11"/>
      <c r="T21" s="11"/>
      <c r="U21" s="11"/>
      <c r="V21" s="11"/>
      <c r="W21" s="11"/>
    </row>
    <row r="22" spans="1:23">
      <c r="A22" s="11" t="s">
        <v>44</v>
      </c>
      <c r="B22" s="11" t="s">
        <v>89</v>
      </c>
      <c r="C22" s="11">
        <v>10406</v>
      </c>
      <c r="D22" s="11">
        <v>19.07</v>
      </c>
      <c r="E22" s="11">
        <v>1.99</v>
      </c>
      <c r="F22" s="11">
        <v>9.4499999999999993</v>
      </c>
      <c r="G22" s="11"/>
      <c r="H22" s="11"/>
      <c r="I22" s="11">
        <v>5.46</v>
      </c>
      <c r="J22" s="11">
        <v>103.55482079006623</v>
      </c>
      <c r="K22" s="11"/>
      <c r="L22" s="11"/>
      <c r="M22" s="11"/>
      <c r="N22" s="11"/>
      <c r="O22" s="11"/>
      <c r="P22" s="11"/>
      <c r="Q22" s="11"/>
      <c r="R22" s="11">
        <v>6398.1049999999996</v>
      </c>
      <c r="S22" s="11"/>
      <c r="T22" s="11"/>
      <c r="U22" s="11"/>
      <c r="V22" s="11"/>
      <c r="W22" s="11"/>
    </row>
    <row r="23" spans="1:23">
      <c r="A23" s="11" t="s">
        <v>44</v>
      </c>
      <c r="B23" s="11" t="s">
        <v>89</v>
      </c>
      <c r="C23" s="11">
        <v>10406</v>
      </c>
      <c r="D23" s="11">
        <v>19.07</v>
      </c>
      <c r="E23" s="11">
        <v>1.99</v>
      </c>
      <c r="F23" s="11">
        <v>9.4499999999999993</v>
      </c>
      <c r="G23" s="11"/>
      <c r="H23" s="11"/>
      <c r="I23" s="11">
        <v>4.9560000000000004</v>
      </c>
      <c r="J23" s="11">
        <v>98.451086925835341</v>
      </c>
      <c r="K23" s="11"/>
      <c r="L23" s="11"/>
      <c r="M23" s="11"/>
      <c r="N23" s="11"/>
      <c r="O23" s="11"/>
      <c r="P23" s="11"/>
      <c r="Q23" s="11"/>
      <c r="R23" s="11">
        <v>6979.424</v>
      </c>
      <c r="S23" s="11"/>
      <c r="T23" s="11"/>
      <c r="U23" s="11"/>
      <c r="V23" s="11"/>
      <c r="W23" s="11"/>
    </row>
    <row r="24" spans="1:23">
      <c r="A24" s="11" t="s">
        <v>44</v>
      </c>
      <c r="B24" s="11" t="s">
        <v>89</v>
      </c>
      <c r="C24" s="11">
        <v>10406</v>
      </c>
      <c r="D24" s="11">
        <v>19.07</v>
      </c>
      <c r="E24" s="11">
        <v>1.99</v>
      </c>
      <c r="F24" s="11">
        <v>9.4499999999999993</v>
      </c>
      <c r="G24" s="11"/>
      <c r="H24" s="11"/>
      <c r="I24" s="11">
        <v>4.32</v>
      </c>
      <c r="J24" s="11">
        <v>89.359946308590906</v>
      </c>
      <c r="K24" s="11"/>
      <c r="L24" s="11"/>
      <c r="M24" s="11"/>
      <c r="N24" s="11"/>
      <c r="O24" s="11"/>
      <c r="P24" s="11"/>
      <c r="Q24" s="11"/>
      <c r="R24" s="11">
        <v>7425.1030000000001</v>
      </c>
      <c r="S24" s="11"/>
      <c r="T24" s="11"/>
      <c r="U24" s="11"/>
      <c r="V24" s="11"/>
      <c r="W24" s="11"/>
    </row>
  </sheetData>
  <sortState xmlns:xlrd2="http://schemas.microsoft.com/office/spreadsheetml/2017/richdata2" ref="A3:W24">
    <sortCondition ref="A3:A24"/>
    <sortCondition ref="B3:B24"/>
    <sortCondition descending="1" ref="C3:C24"/>
  </sortState>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AG171"/>
  <sheetViews>
    <sheetView tabSelected="1" workbookViewId="0">
      <pane xSplit="2" ySplit="3" topLeftCell="C4" activePane="bottomRight" state="frozenSplit"/>
      <selection pane="topRight" activeCell="C1" sqref="C1"/>
      <selection pane="bottomLeft" activeCell="A12" sqref="A12"/>
      <selection pane="bottomRight" activeCell="V15" sqref="V15"/>
    </sheetView>
  </sheetViews>
  <sheetFormatPr defaultColWidth="8.85546875" defaultRowHeight="15"/>
  <cols>
    <col min="1" max="16384" width="8.85546875" style="11"/>
  </cols>
  <sheetData>
    <row r="1" spans="1:33" ht="15.75" thickBot="1">
      <c r="A1" s="115" t="s">
        <v>22</v>
      </c>
      <c r="B1" s="115" t="s">
        <v>17</v>
      </c>
      <c r="C1" s="115" t="s">
        <v>1</v>
      </c>
      <c r="D1" s="116" t="s">
        <v>2</v>
      </c>
      <c r="E1" s="116" t="s">
        <v>3</v>
      </c>
      <c r="F1" s="116" t="s">
        <v>4</v>
      </c>
      <c r="G1" s="116" t="s">
        <v>5</v>
      </c>
      <c r="H1" s="116" t="s">
        <v>20</v>
      </c>
      <c r="I1" s="116" t="s">
        <v>6</v>
      </c>
      <c r="J1" s="116" t="s">
        <v>7</v>
      </c>
      <c r="K1" s="116" t="s">
        <v>8</v>
      </c>
      <c r="L1" s="116" t="s">
        <v>21</v>
      </c>
      <c r="M1" s="116" t="s">
        <v>18</v>
      </c>
      <c r="N1" s="116" t="s">
        <v>19</v>
      </c>
      <c r="O1" s="116" t="s">
        <v>23</v>
      </c>
      <c r="P1" s="116" t="s">
        <v>34</v>
      </c>
      <c r="Q1" s="116" t="s">
        <v>36</v>
      </c>
      <c r="R1" s="116" t="s">
        <v>37</v>
      </c>
      <c r="S1" s="116" t="s">
        <v>38</v>
      </c>
      <c r="T1" s="116" t="s">
        <v>97</v>
      </c>
      <c r="U1" s="116" t="s">
        <v>39</v>
      </c>
      <c r="V1" s="116" t="s">
        <v>40</v>
      </c>
    </row>
    <row r="2" spans="1:33" ht="15.75" thickBot="1">
      <c r="A2" s="115">
        <v>0.99</v>
      </c>
      <c r="B2" s="115"/>
      <c r="C2" s="115" t="s">
        <v>54</v>
      </c>
      <c r="D2" s="116" t="s">
        <v>55</v>
      </c>
      <c r="E2" s="116" t="s">
        <v>63</v>
      </c>
      <c r="F2" s="116" t="s">
        <v>12</v>
      </c>
      <c r="G2" s="116" t="s">
        <v>10</v>
      </c>
      <c r="H2" s="116" t="s">
        <v>10</v>
      </c>
      <c r="I2" s="116" t="s">
        <v>63</v>
      </c>
      <c r="J2" s="116" t="s">
        <v>12</v>
      </c>
      <c r="K2" s="116" t="s">
        <v>10</v>
      </c>
      <c r="L2" s="116" t="s">
        <v>10</v>
      </c>
      <c r="M2" s="116" t="s">
        <v>57</v>
      </c>
      <c r="N2" s="116" t="s">
        <v>11</v>
      </c>
      <c r="O2" s="116" t="s">
        <v>58</v>
      </c>
      <c r="P2" s="116" t="s">
        <v>59</v>
      </c>
      <c r="Q2" s="116" t="s">
        <v>60</v>
      </c>
      <c r="R2" s="116" t="s">
        <v>60</v>
      </c>
      <c r="S2" s="116" t="s">
        <v>60</v>
      </c>
      <c r="T2" s="116" t="s">
        <v>85</v>
      </c>
      <c r="U2" s="116" t="s">
        <v>45</v>
      </c>
      <c r="V2" s="116" t="s">
        <v>10</v>
      </c>
    </row>
    <row r="3" spans="1:33" ht="15.75" thickBot="1">
      <c r="A3" s="15" t="s">
        <v>42</v>
      </c>
      <c r="B3" s="15" t="s">
        <v>43</v>
      </c>
      <c r="C3" s="15">
        <v>7950</v>
      </c>
      <c r="D3" s="15">
        <v>21.78</v>
      </c>
      <c r="E3" s="15">
        <v>5.2</v>
      </c>
      <c r="F3" s="15">
        <v>332.84999999999997</v>
      </c>
      <c r="G3" s="88">
        <v>0.99</v>
      </c>
      <c r="H3" s="15"/>
      <c r="I3" s="15"/>
      <c r="J3" s="15"/>
      <c r="K3" s="15"/>
      <c r="L3" s="15"/>
      <c r="M3" s="15"/>
      <c r="N3" s="15"/>
      <c r="O3" s="15"/>
      <c r="P3" s="15">
        <v>23.5</v>
      </c>
      <c r="Q3" s="15"/>
      <c r="R3" s="15"/>
      <c r="S3" s="15"/>
      <c r="T3" s="15">
        <v>70</v>
      </c>
      <c r="U3" s="15">
        <v>400</v>
      </c>
      <c r="V3" s="15"/>
    </row>
    <row r="4" spans="1:33">
      <c r="A4" s="91" t="s">
        <v>46</v>
      </c>
      <c r="B4" s="91" t="s">
        <v>47</v>
      </c>
      <c r="C4" s="91"/>
      <c r="D4" s="91"/>
      <c r="E4" s="91"/>
      <c r="F4" s="91"/>
      <c r="G4" s="92"/>
      <c r="H4" s="91"/>
      <c r="I4" s="91">
        <v>15</v>
      </c>
      <c r="J4" s="91"/>
      <c r="K4" s="91"/>
      <c r="L4" s="91"/>
      <c r="M4" s="91"/>
      <c r="N4" s="91"/>
      <c r="O4" s="91"/>
      <c r="P4" s="91"/>
      <c r="Q4" s="91"/>
      <c r="R4" s="91"/>
      <c r="S4" s="91"/>
      <c r="T4" s="91"/>
      <c r="U4" s="91"/>
      <c r="V4" s="91"/>
    </row>
    <row r="5" spans="1:33">
      <c r="A5" s="91" t="s">
        <v>69</v>
      </c>
      <c r="B5" s="91" t="s">
        <v>64</v>
      </c>
      <c r="C5" s="91"/>
      <c r="D5" s="91">
        <v>21.809000000000001</v>
      </c>
      <c r="E5" s="91">
        <v>5.1139999999999999</v>
      </c>
      <c r="F5" s="91">
        <f>273.15+60</f>
        <v>333.15</v>
      </c>
      <c r="G5" s="92">
        <v>0.99</v>
      </c>
      <c r="H5" s="91">
        <v>1.34</v>
      </c>
      <c r="I5" s="91"/>
      <c r="J5" s="91"/>
      <c r="K5" s="91"/>
      <c r="L5" s="91"/>
      <c r="M5" s="91">
        <v>116</v>
      </c>
      <c r="N5" s="91">
        <v>0.81499999999999995</v>
      </c>
      <c r="O5" s="91"/>
      <c r="P5" s="91"/>
      <c r="Q5" s="91">
        <v>12400</v>
      </c>
      <c r="R5" s="91"/>
      <c r="S5" s="91"/>
      <c r="T5" s="91"/>
      <c r="U5" s="117"/>
      <c r="V5" s="91"/>
    </row>
    <row r="6" spans="1:33">
      <c r="A6" s="111" t="s">
        <v>44</v>
      </c>
      <c r="B6" s="111" t="s">
        <v>64</v>
      </c>
      <c r="C6" s="111">
        <v>8347.5</v>
      </c>
      <c r="D6" s="118">
        <v>21.809349999999998</v>
      </c>
      <c r="E6" s="111">
        <v>5.1139999999999999</v>
      </c>
      <c r="F6" s="111">
        <v>333.15</v>
      </c>
      <c r="G6" s="111">
        <v>0.99</v>
      </c>
      <c r="H6" s="111"/>
      <c r="I6" s="118">
        <v>15.33093</v>
      </c>
      <c r="J6" s="118">
        <v>431.62729999999999</v>
      </c>
      <c r="K6" s="111">
        <v>0.99</v>
      </c>
      <c r="L6" s="111"/>
      <c r="M6" s="111"/>
      <c r="N6" s="111"/>
      <c r="O6" s="111"/>
      <c r="P6" s="119">
        <v>14.7902</v>
      </c>
      <c r="Q6" s="111"/>
      <c r="R6" s="111"/>
      <c r="S6" s="111"/>
      <c r="T6" s="111"/>
      <c r="U6" s="111"/>
      <c r="V6" s="111"/>
    </row>
    <row r="7" spans="1:33">
      <c r="A7" s="11" t="s">
        <v>44</v>
      </c>
      <c r="B7" s="11" t="s">
        <v>64</v>
      </c>
      <c r="C7" s="11">
        <v>8347.5</v>
      </c>
      <c r="D7" s="89">
        <v>21.809349999999998</v>
      </c>
      <c r="E7" s="11">
        <v>5.1139999999999999</v>
      </c>
      <c r="F7" s="11">
        <v>333.15</v>
      </c>
      <c r="G7" s="11">
        <v>0.99</v>
      </c>
      <c r="I7" s="89">
        <v>15.241619999999999</v>
      </c>
      <c r="J7" s="89">
        <v>430.46440000000001</v>
      </c>
      <c r="K7" s="11">
        <v>0.99</v>
      </c>
      <c r="N7" s="107"/>
      <c r="P7" s="90">
        <v>15.309240000000001</v>
      </c>
      <c r="U7" s="107"/>
    </row>
    <row r="8" spans="1:33">
      <c r="A8" s="11" t="s">
        <v>44</v>
      </c>
      <c r="B8" s="11" t="s">
        <v>64</v>
      </c>
      <c r="C8" s="11">
        <v>8347.5</v>
      </c>
      <c r="D8" s="89">
        <v>21.809349999999998</v>
      </c>
      <c r="E8" s="11">
        <v>5.1139999999999999</v>
      </c>
      <c r="F8" s="11">
        <v>333.15</v>
      </c>
      <c r="G8" s="11">
        <v>0.99</v>
      </c>
      <c r="I8" s="89">
        <v>15.197900000000001</v>
      </c>
      <c r="J8" s="89">
        <v>429.96249999999998</v>
      </c>
      <c r="K8" s="11">
        <v>0.99</v>
      </c>
      <c r="N8" s="107"/>
      <c r="P8" s="90">
        <v>15.53129</v>
      </c>
      <c r="U8" s="107"/>
    </row>
    <row r="9" spans="1:33">
      <c r="A9" s="11" t="s">
        <v>44</v>
      </c>
      <c r="B9" s="11" t="s">
        <v>64</v>
      </c>
      <c r="C9" s="11">
        <v>8347.5</v>
      </c>
      <c r="D9" s="89">
        <v>21.809349999999998</v>
      </c>
      <c r="E9" s="11">
        <v>5.1139999999999999</v>
      </c>
      <c r="F9" s="11">
        <v>333.15</v>
      </c>
      <c r="G9" s="11">
        <v>0.99</v>
      </c>
      <c r="I9" s="89">
        <v>15.19403</v>
      </c>
      <c r="J9" s="89">
        <v>429.9212</v>
      </c>
      <c r="K9" s="11">
        <v>0.99</v>
      </c>
      <c r="N9" s="107"/>
      <c r="P9" s="90">
        <v>15.54856</v>
      </c>
      <c r="U9" s="107"/>
    </row>
    <row r="10" spans="1:33">
      <c r="A10" s="11" t="s">
        <v>44</v>
      </c>
      <c r="B10" s="11" t="s">
        <v>64</v>
      </c>
      <c r="C10" s="11">
        <v>8347.5</v>
      </c>
      <c r="D10" s="89">
        <v>21.809349999999998</v>
      </c>
      <c r="E10" s="11">
        <v>5.1139999999999999</v>
      </c>
      <c r="F10" s="11">
        <v>333.15</v>
      </c>
      <c r="G10" s="11">
        <v>0.99</v>
      </c>
      <c r="I10" s="89">
        <v>15.09994</v>
      </c>
      <c r="J10" s="89">
        <v>428.95</v>
      </c>
      <c r="K10" s="11">
        <v>0.99</v>
      </c>
      <c r="N10" s="107"/>
      <c r="P10" s="90">
        <v>15.96805</v>
      </c>
      <c r="U10" s="107"/>
    </row>
    <row r="11" spans="1:33">
      <c r="A11" s="11" t="s">
        <v>44</v>
      </c>
      <c r="B11" s="11" t="s">
        <v>64</v>
      </c>
      <c r="C11" s="11">
        <v>8347.5</v>
      </c>
      <c r="D11" s="89">
        <v>21.809349999999998</v>
      </c>
      <c r="E11" s="11">
        <v>5.1139999999999999</v>
      </c>
      <c r="F11" s="11">
        <v>333.15</v>
      </c>
      <c r="G11" s="11">
        <v>0.99</v>
      </c>
      <c r="I11" s="89">
        <v>14.97001</v>
      </c>
      <c r="J11" s="89">
        <v>427.76819999999998</v>
      </c>
      <c r="K11" s="11">
        <v>0.99</v>
      </c>
      <c r="N11" s="107"/>
      <c r="P11" s="90">
        <v>16.469159999999999</v>
      </c>
      <c r="U11" s="107"/>
    </row>
    <row r="12" spans="1:33">
      <c r="A12" s="11" t="s">
        <v>44</v>
      </c>
      <c r="B12" s="11" t="s">
        <v>64</v>
      </c>
      <c r="C12" s="11">
        <v>8347.5</v>
      </c>
      <c r="D12" s="89">
        <v>21.809349999999998</v>
      </c>
      <c r="E12" s="11">
        <v>5.1139999999999999</v>
      </c>
      <c r="F12" s="11">
        <v>333.15</v>
      </c>
      <c r="G12" s="11">
        <v>0.99</v>
      </c>
      <c r="I12" s="89">
        <v>14.68783</v>
      </c>
      <c r="J12" s="89">
        <v>425.60410000000002</v>
      </c>
      <c r="K12" s="11">
        <v>0.99</v>
      </c>
      <c r="N12" s="107"/>
      <c r="P12" s="90">
        <v>17.412130000000001</v>
      </c>
      <c r="U12" s="107"/>
    </row>
    <row r="13" spans="1:33">
      <c r="A13" s="11" t="s">
        <v>44</v>
      </c>
      <c r="B13" s="11" t="s">
        <v>64</v>
      </c>
      <c r="C13" s="11">
        <v>8347.5</v>
      </c>
      <c r="D13" s="89">
        <v>21.809349999999998</v>
      </c>
      <c r="E13" s="11">
        <v>5.1139999999999999</v>
      </c>
      <c r="F13" s="11">
        <v>333.15</v>
      </c>
      <c r="G13" s="11">
        <v>0.99</v>
      </c>
      <c r="I13" s="89">
        <v>14.4902</v>
      </c>
      <c r="J13" s="89">
        <v>424.32240000000002</v>
      </c>
      <c r="K13" s="11">
        <v>0.99</v>
      </c>
      <c r="N13" s="107"/>
      <c r="P13" s="90">
        <v>17.945599999999999</v>
      </c>
      <c r="U13" s="107"/>
    </row>
    <row r="14" spans="1:33">
      <c r="A14" s="11" t="s">
        <v>44</v>
      </c>
      <c r="B14" s="11" t="s">
        <v>64</v>
      </c>
      <c r="C14" s="11">
        <v>8347.5</v>
      </c>
      <c r="D14" s="89">
        <v>21.809349999999998</v>
      </c>
      <c r="E14" s="11">
        <v>5.1139999999999999</v>
      </c>
      <c r="F14" s="11">
        <v>333.15</v>
      </c>
      <c r="G14" s="11">
        <v>0.99</v>
      </c>
      <c r="I14" s="89">
        <v>14.1534</v>
      </c>
      <c r="J14" s="89">
        <v>422.36</v>
      </c>
      <c r="K14" s="11">
        <v>0.99</v>
      </c>
      <c r="N14" s="107"/>
      <c r="P14" s="90">
        <v>18.685410000000001</v>
      </c>
    </row>
    <row r="15" spans="1:33">
      <c r="A15" s="11" t="s">
        <v>44</v>
      </c>
      <c r="B15" s="11" t="s">
        <v>64</v>
      </c>
      <c r="C15" s="11">
        <v>8347.5</v>
      </c>
      <c r="D15" s="89">
        <v>21.809349999999998</v>
      </c>
      <c r="E15" s="11">
        <v>5.1139999999999999</v>
      </c>
      <c r="F15" s="11">
        <v>333.15</v>
      </c>
      <c r="G15" s="11">
        <v>0.99</v>
      </c>
      <c r="I15" s="89">
        <v>13.99119</v>
      </c>
      <c r="J15" s="89">
        <v>421.46010000000001</v>
      </c>
      <c r="K15" s="11">
        <v>0.99</v>
      </c>
      <c r="N15" s="107"/>
      <c r="P15" s="90">
        <v>19.009499999999999</v>
      </c>
    </row>
    <row r="16" spans="1:33">
      <c r="A16" s="11" t="s">
        <v>44</v>
      </c>
      <c r="B16" s="11" t="s">
        <v>64</v>
      </c>
      <c r="C16" s="11">
        <v>8347.5</v>
      </c>
      <c r="D16" s="89">
        <v>21.809349999999998</v>
      </c>
      <c r="E16" s="11">
        <v>5.1139999999999999</v>
      </c>
      <c r="F16" s="11">
        <v>333.15</v>
      </c>
      <c r="G16" s="11">
        <v>0.99</v>
      </c>
      <c r="I16" s="89">
        <v>13.65151</v>
      </c>
      <c r="J16" s="89">
        <v>419.6635</v>
      </c>
      <c r="K16" s="11">
        <v>0.99</v>
      </c>
      <c r="N16" s="107"/>
      <c r="P16" s="90">
        <v>19.629919999999998</v>
      </c>
    </row>
    <row r="17" spans="1:22">
      <c r="A17" s="11" t="s">
        <v>44</v>
      </c>
      <c r="B17" s="11" t="s">
        <v>64</v>
      </c>
      <c r="C17" s="11">
        <v>8347.5</v>
      </c>
      <c r="D17" s="89">
        <v>21.809349999999998</v>
      </c>
      <c r="E17" s="11">
        <v>5.1139999999999999</v>
      </c>
      <c r="F17" s="11">
        <v>333.15</v>
      </c>
      <c r="G17" s="11">
        <v>0.99</v>
      </c>
      <c r="I17" s="89">
        <v>13.47425</v>
      </c>
      <c r="J17" s="89">
        <v>418.78250000000003</v>
      </c>
      <c r="K17" s="11">
        <v>0.99</v>
      </c>
      <c r="N17" s="107"/>
      <c r="P17" s="90">
        <v>19.929169999999999</v>
      </c>
    </row>
    <row r="18" spans="1:22">
      <c r="A18" s="11" t="s">
        <v>44</v>
      </c>
      <c r="B18" s="11" t="s">
        <v>64</v>
      </c>
      <c r="C18" s="11">
        <v>8347.5</v>
      </c>
      <c r="D18" s="89">
        <v>21.809349999999998</v>
      </c>
      <c r="E18" s="11">
        <v>5.1139999999999999</v>
      </c>
      <c r="F18" s="11">
        <v>333.15</v>
      </c>
      <c r="G18" s="11">
        <v>0.99</v>
      </c>
      <c r="I18" s="89">
        <v>12.85859</v>
      </c>
      <c r="J18" s="89">
        <v>415.88780000000003</v>
      </c>
      <c r="K18" s="11">
        <v>0.99</v>
      </c>
      <c r="N18" s="107"/>
      <c r="P18" s="90">
        <v>20.802219999999998</v>
      </c>
    </row>
    <row r="19" spans="1:22">
      <c r="A19" s="11" t="s">
        <v>44</v>
      </c>
      <c r="B19" s="11" t="s">
        <v>64</v>
      </c>
      <c r="C19" s="11">
        <v>8347.5</v>
      </c>
      <c r="D19" s="89">
        <v>21.809349999999998</v>
      </c>
      <c r="E19" s="11">
        <v>5.1139999999999999</v>
      </c>
      <c r="F19" s="11">
        <v>333.15</v>
      </c>
      <c r="G19" s="11">
        <v>0.99</v>
      </c>
      <c r="I19" s="89">
        <v>12.56521</v>
      </c>
      <c r="J19" s="89">
        <v>414.60660000000001</v>
      </c>
      <c r="K19" s="11">
        <v>0.99</v>
      </c>
      <c r="P19" s="90">
        <v>21.148479999999999</v>
      </c>
    </row>
    <row r="20" spans="1:22">
      <c r="A20" s="11" t="s">
        <v>44</v>
      </c>
      <c r="B20" s="11" t="s">
        <v>64</v>
      </c>
      <c r="C20" s="11">
        <v>8347.5</v>
      </c>
      <c r="D20" s="89">
        <v>21.809349999999998</v>
      </c>
      <c r="E20" s="11">
        <v>5.1139999999999999</v>
      </c>
      <c r="F20" s="11">
        <v>333.15</v>
      </c>
      <c r="G20" s="11">
        <v>0.99</v>
      </c>
      <c r="I20" s="89">
        <v>11.921950000000001</v>
      </c>
      <c r="J20" s="89">
        <v>412.07560000000001</v>
      </c>
      <c r="K20" s="11">
        <v>0.99</v>
      </c>
      <c r="P20" s="90">
        <v>21.78594</v>
      </c>
    </row>
    <row r="21" spans="1:22">
      <c r="A21" s="11" t="s">
        <v>44</v>
      </c>
      <c r="B21" s="11" t="s">
        <v>64</v>
      </c>
      <c r="C21" s="11">
        <v>8347.5</v>
      </c>
      <c r="D21" s="89">
        <v>21.809349999999998</v>
      </c>
      <c r="E21" s="11">
        <v>5.1139999999999999</v>
      </c>
      <c r="F21" s="11">
        <v>333.15</v>
      </c>
      <c r="G21" s="11">
        <v>0.99</v>
      </c>
      <c r="I21" s="89">
        <v>11.611800000000001</v>
      </c>
      <c r="J21" s="89">
        <v>410.9051</v>
      </c>
      <c r="K21" s="11">
        <v>0.99</v>
      </c>
      <c r="P21" s="90">
        <v>22.066859999999998</v>
      </c>
    </row>
    <row r="22" spans="1:22">
      <c r="A22" s="11" t="s">
        <v>44</v>
      </c>
      <c r="B22" s="11" t="s">
        <v>64</v>
      </c>
      <c r="C22" s="11">
        <v>8347.5</v>
      </c>
      <c r="D22" s="89">
        <v>21.809349999999998</v>
      </c>
      <c r="E22" s="11">
        <v>5.1139999999999999</v>
      </c>
      <c r="F22" s="11">
        <v>333.15</v>
      </c>
      <c r="G22" s="11">
        <v>0.99</v>
      </c>
      <c r="I22" s="89">
        <v>10.859540000000001</v>
      </c>
      <c r="J22" s="89">
        <v>408.2133</v>
      </c>
      <c r="K22" s="11">
        <v>0.99</v>
      </c>
      <c r="P22" s="90">
        <v>22.623380000000001</v>
      </c>
    </row>
    <row r="23" spans="1:22">
      <c r="A23" s="11" t="s">
        <v>44</v>
      </c>
      <c r="B23" s="11" t="s">
        <v>64</v>
      </c>
      <c r="C23" s="11">
        <v>8347.5</v>
      </c>
      <c r="D23" s="89">
        <v>21.809349999999998</v>
      </c>
      <c r="E23" s="11">
        <v>5.1139999999999999</v>
      </c>
      <c r="F23" s="11">
        <v>333.15</v>
      </c>
      <c r="G23" s="11">
        <v>0.99</v>
      </c>
      <c r="I23" s="89">
        <v>10.50694</v>
      </c>
      <c r="J23" s="89">
        <v>407.08429999999998</v>
      </c>
      <c r="K23" s="11">
        <v>0.99</v>
      </c>
      <c r="P23" s="90">
        <v>22.8186</v>
      </c>
    </row>
    <row r="24" spans="1:22">
      <c r="A24" s="11" t="s">
        <v>44</v>
      </c>
      <c r="B24" s="11" t="s">
        <v>64</v>
      </c>
      <c r="C24" s="11">
        <v>8347.5</v>
      </c>
      <c r="D24" s="89">
        <v>21.809349999999998</v>
      </c>
      <c r="E24" s="11">
        <v>5.1139999999999999</v>
      </c>
      <c r="F24" s="11">
        <v>333.15</v>
      </c>
      <c r="G24" s="11">
        <v>0.99</v>
      </c>
      <c r="I24" s="89">
        <v>9.825996</v>
      </c>
      <c r="J24" s="89">
        <v>405.13010000000003</v>
      </c>
      <c r="K24" s="11">
        <v>0.99</v>
      </c>
      <c r="P24" s="90">
        <v>23.106069999999999</v>
      </c>
    </row>
    <row r="25" spans="1:22">
      <c r="A25" s="11" t="s">
        <v>44</v>
      </c>
      <c r="B25" s="11" t="s">
        <v>64</v>
      </c>
      <c r="C25" s="11">
        <v>8347.5</v>
      </c>
      <c r="D25" s="89">
        <v>21.809349999999998</v>
      </c>
      <c r="E25" s="11">
        <v>5.1139999999999999</v>
      </c>
      <c r="F25" s="11">
        <v>333.15</v>
      </c>
      <c r="G25" s="11">
        <v>0.99</v>
      </c>
      <c r="I25" s="89">
        <v>8.8383520000000004</v>
      </c>
      <c r="J25" s="89">
        <v>402.65980000000002</v>
      </c>
      <c r="K25" s="11">
        <v>0.99</v>
      </c>
      <c r="P25" s="90">
        <v>23.356529999999999</v>
      </c>
    </row>
    <row r="26" spans="1:22">
      <c r="A26" s="111" t="s">
        <v>44</v>
      </c>
      <c r="B26" s="111" t="s">
        <v>64</v>
      </c>
      <c r="C26" s="111">
        <v>7950</v>
      </c>
      <c r="D26" s="118">
        <v>21.809349999999998</v>
      </c>
      <c r="E26" s="111">
        <v>5.1139999999999999</v>
      </c>
      <c r="F26" s="111">
        <v>333.15</v>
      </c>
      <c r="G26" s="111">
        <v>0.99</v>
      </c>
      <c r="H26" s="111"/>
      <c r="I26" s="118">
        <v>14.08351</v>
      </c>
      <c r="J26" s="118">
        <v>423.95080000000002</v>
      </c>
      <c r="K26" s="111">
        <v>0.99</v>
      </c>
      <c r="L26" s="111"/>
      <c r="M26" s="111"/>
      <c r="N26" s="111"/>
      <c r="O26" s="111"/>
      <c r="P26" s="119">
        <v>13.15962</v>
      </c>
      <c r="Q26" s="111"/>
      <c r="R26" s="111"/>
      <c r="S26" s="111"/>
      <c r="T26" s="111"/>
      <c r="U26" s="111"/>
      <c r="V26" s="111"/>
    </row>
    <row r="27" spans="1:22">
      <c r="A27" s="11" t="s">
        <v>44</v>
      </c>
      <c r="B27" s="11" t="s">
        <v>64</v>
      </c>
      <c r="C27" s="11">
        <v>7950</v>
      </c>
      <c r="D27" s="89">
        <v>21.809349999999998</v>
      </c>
      <c r="E27" s="11">
        <v>5.1139999999999999</v>
      </c>
      <c r="F27" s="11">
        <v>333.15</v>
      </c>
      <c r="G27" s="11">
        <v>0.99</v>
      </c>
      <c r="I27" s="89">
        <v>14.00891</v>
      </c>
      <c r="J27" s="89">
        <v>422.65730000000002</v>
      </c>
      <c r="K27" s="11">
        <v>0.99</v>
      </c>
      <c r="P27" s="90">
        <v>13.75975</v>
      </c>
    </row>
    <row r="28" spans="1:22">
      <c r="A28" s="11" t="s">
        <v>44</v>
      </c>
      <c r="B28" s="11" t="s">
        <v>64</v>
      </c>
      <c r="C28" s="11">
        <v>7950</v>
      </c>
      <c r="D28" s="89">
        <v>21.809349999999998</v>
      </c>
      <c r="E28" s="11">
        <v>5.1139999999999999</v>
      </c>
      <c r="F28" s="11">
        <v>333.15</v>
      </c>
      <c r="G28" s="11">
        <v>0.99</v>
      </c>
      <c r="I28" s="89">
        <v>13.95622</v>
      </c>
      <c r="J28" s="89">
        <v>421.94450000000001</v>
      </c>
      <c r="K28" s="11">
        <v>0.99</v>
      </c>
      <c r="P28" s="90">
        <v>14.082269999999999</v>
      </c>
    </row>
    <row r="29" spans="1:22">
      <c r="A29" s="11" t="s">
        <v>44</v>
      </c>
      <c r="B29" s="11" t="s">
        <v>64</v>
      </c>
      <c r="C29" s="11">
        <v>7950</v>
      </c>
      <c r="D29" s="89">
        <v>21.809349999999998</v>
      </c>
      <c r="E29" s="11">
        <v>5.1139999999999999</v>
      </c>
      <c r="F29" s="11">
        <v>333.15</v>
      </c>
      <c r="G29" s="11">
        <v>0.99</v>
      </c>
      <c r="I29" s="89">
        <v>13.95255</v>
      </c>
      <c r="J29" s="89">
        <v>421.89819999999997</v>
      </c>
      <c r="K29" s="11">
        <v>0.99</v>
      </c>
      <c r="P29" s="90">
        <v>14.103</v>
      </c>
    </row>
    <row r="30" spans="1:22">
      <c r="A30" s="11" t="s">
        <v>44</v>
      </c>
      <c r="B30" s="11" t="s">
        <v>64</v>
      </c>
      <c r="C30" s="11">
        <v>7950</v>
      </c>
      <c r="D30" s="89">
        <v>21.809349999999998</v>
      </c>
      <c r="E30" s="11">
        <v>5.1139999999999999</v>
      </c>
      <c r="F30" s="11">
        <v>333.15</v>
      </c>
      <c r="G30" s="11">
        <v>0.99</v>
      </c>
      <c r="I30" s="89">
        <v>13.85083</v>
      </c>
      <c r="J30" s="89">
        <v>420.7389</v>
      </c>
      <c r="K30" s="11">
        <v>0.99</v>
      </c>
      <c r="P30" s="90">
        <v>14.61496</v>
      </c>
    </row>
    <row r="31" spans="1:22">
      <c r="A31" s="11" t="s">
        <v>44</v>
      </c>
      <c r="B31" s="11" t="s">
        <v>64</v>
      </c>
      <c r="C31" s="11">
        <v>7950</v>
      </c>
      <c r="D31" s="89">
        <v>21.809349999999998</v>
      </c>
      <c r="E31" s="11">
        <v>5.1139999999999999</v>
      </c>
      <c r="F31" s="11">
        <v>333.15</v>
      </c>
      <c r="G31" s="11">
        <v>0.99</v>
      </c>
      <c r="I31" s="89">
        <v>13.750640000000001</v>
      </c>
      <c r="J31" s="89">
        <v>419.7518</v>
      </c>
      <c r="K31" s="11">
        <v>0.99</v>
      </c>
      <c r="P31" s="90">
        <v>15.04031</v>
      </c>
    </row>
    <row r="32" spans="1:22">
      <c r="A32" s="11" t="s">
        <v>44</v>
      </c>
      <c r="B32" s="11" t="s">
        <v>64</v>
      </c>
      <c r="C32" s="11">
        <v>7950</v>
      </c>
      <c r="D32" s="89">
        <v>21.809349999999998</v>
      </c>
      <c r="E32" s="11">
        <v>5.1139999999999999</v>
      </c>
      <c r="F32" s="11">
        <v>333.15</v>
      </c>
      <c r="G32" s="11">
        <v>0.99</v>
      </c>
      <c r="I32" s="89">
        <v>13.51403</v>
      </c>
      <c r="J32" s="89">
        <v>417.79</v>
      </c>
      <c r="K32" s="11">
        <v>0.99</v>
      </c>
      <c r="P32" s="90">
        <v>15.916779999999999</v>
      </c>
    </row>
    <row r="33" spans="1:22">
      <c r="A33" s="11" t="s">
        <v>44</v>
      </c>
      <c r="B33" s="11" t="s">
        <v>64</v>
      </c>
      <c r="C33" s="11">
        <v>7950</v>
      </c>
      <c r="D33" s="89">
        <v>21.809349999999998</v>
      </c>
      <c r="E33" s="11">
        <v>5.1139999999999999</v>
      </c>
      <c r="F33" s="11">
        <v>333.15</v>
      </c>
      <c r="G33" s="11">
        <v>0.99</v>
      </c>
      <c r="I33" s="89">
        <v>13.3474</v>
      </c>
      <c r="J33" s="89">
        <v>416.5924</v>
      </c>
      <c r="K33" s="11">
        <v>0.99</v>
      </c>
      <c r="P33" s="90">
        <v>16.42822</v>
      </c>
    </row>
    <row r="34" spans="1:22">
      <c r="A34" s="11" t="s">
        <v>44</v>
      </c>
      <c r="B34" s="11" t="s">
        <v>64</v>
      </c>
      <c r="C34" s="11">
        <v>7950</v>
      </c>
      <c r="D34" s="89">
        <v>21.809349999999998</v>
      </c>
      <c r="E34" s="11">
        <v>5.1139999999999999</v>
      </c>
      <c r="F34" s="11">
        <v>333.15</v>
      </c>
      <c r="G34" s="11">
        <v>0.99</v>
      </c>
      <c r="I34" s="89">
        <v>13.045199999999999</v>
      </c>
      <c r="J34" s="89">
        <v>414.65980000000002</v>
      </c>
      <c r="K34" s="11">
        <v>0.99</v>
      </c>
      <c r="P34" s="90">
        <v>17.177330000000001</v>
      </c>
    </row>
    <row r="35" spans="1:22">
      <c r="A35" s="11" t="s">
        <v>44</v>
      </c>
      <c r="B35" s="11" t="s">
        <v>64</v>
      </c>
      <c r="C35" s="11">
        <v>7950</v>
      </c>
      <c r="D35" s="89">
        <v>21.809349999999998</v>
      </c>
      <c r="E35" s="11">
        <v>5.1139999999999999</v>
      </c>
      <c r="F35" s="11">
        <v>333.15</v>
      </c>
      <c r="G35" s="11">
        <v>0.99</v>
      </c>
      <c r="I35" s="89">
        <v>12.90568</v>
      </c>
      <c r="J35" s="89">
        <v>413.8175</v>
      </c>
      <c r="K35" s="11">
        <v>0.99</v>
      </c>
      <c r="P35" s="90">
        <v>17.49183</v>
      </c>
    </row>
    <row r="36" spans="1:22">
      <c r="A36" s="11" t="s">
        <v>44</v>
      </c>
      <c r="B36" s="11" t="s">
        <v>64</v>
      </c>
      <c r="C36" s="11">
        <v>7950</v>
      </c>
      <c r="D36" s="89">
        <v>21.809349999999998</v>
      </c>
      <c r="E36" s="11">
        <v>5.1139999999999999</v>
      </c>
      <c r="F36" s="11">
        <v>333.15</v>
      </c>
      <c r="G36" s="11">
        <v>0.99</v>
      </c>
      <c r="I36" s="89">
        <v>12.61927</v>
      </c>
      <c r="J36" s="89">
        <v>412.1268</v>
      </c>
      <c r="K36" s="11">
        <v>0.99</v>
      </c>
      <c r="P36" s="90">
        <v>18.105540000000001</v>
      </c>
    </row>
    <row r="37" spans="1:22">
      <c r="A37" s="11" t="s">
        <v>44</v>
      </c>
      <c r="B37" s="11" t="s">
        <v>64</v>
      </c>
      <c r="C37" s="11">
        <v>7950</v>
      </c>
      <c r="D37" s="89">
        <v>21.809349999999998</v>
      </c>
      <c r="E37" s="11">
        <v>5.1139999999999999</v>
      </c>
      <c r="F37" s="11">
        <v>333.15</v>
      </c>
      <c r="G37" s="11">
        <v>0.99</v>
      </c>
      <c r="I37" s="89">
        <v>12.44598</v>
      </c>
      <c r="J37" s="89">
        <v>411.17419999999998</v>
      </c>
      <c r="K37" s="11">
        <v>0.99</v>
      </c>
      <c r="P37" s="90">
        <v>18.43629</v>
      </c>
    </row>
    <row r="38" spans="1:22">
      <c r="A38" s="11" t="s">
        <v>44</v>
      </c>
      <c r="B38" s="11" t="s">
        <v>64</v>
      </c>
      <c r="C38" s="11">
        <v>7950</v>
      </c>
      <c r="D38" s="89">
        <v>21.809349999999998</v>
      </c>
      <c r="E38" s="11">
        <v>5.1139999999999999</v>
      </c>
      <c r="F38" s="11">
        <v>333.15</v>
      </c>
      <c r="G38" s="11">
        <v>0.99</v>
      </c>
      <c r="I38" s="89">
        <v>11.958930000000001</v>
      </c>
      <c r="J38" s="89">
        <v>408.72770000000003</v>
      </c>
      <c r="K38" s="11">
        <v>0.99</v>
      </c>
      <c r="P38" s="90">
        <v>19.255089999999999</v>
      </c>
    </row>
    <row r="39" spans="1:22">
      <c r="A39" s="11" t="s">
        <v>44</v>
      </c>
      <c r="B39" s="11" t="s">
        <v>64</v>
      </c>
      <c r="C39" s="11">
        <v>7950</v>
      </c>
      <c r="D39" s="89">
        <v>21.809349999999998</v>
      </c>
      <c r="E39" s="11">
        <v>5.1139999999999999</v>
      </c>
      <c r="F39" s="11">
        <v>333.15</v>
      </c>
      <c r="G39" s="11">
        <v>0.99</v>
      </c>
      <c r="I39" s="89">
        <v>11.68085</v>
      </c>
      <c r="J39" s="89">
        <v>407.40379999999999</v>
      </c>
      <c r="K39" s="11">
        <v>0.99</v>
      </c>
      <c r="P39" s="90">
        <v>19.66215</v>
      </c>
    </row>
    <row r="40" spans="1:22">
      <c r="A40" s="11" t="s">
        <v>44</v>
      </c>
      <c r="B40" s="11" t="s">
        <v>64</v>
      </c>
      <c r="C40" s="11">
        <v>7950</v>
      </c>
      <c r="D40" s="89">
        <v>21.809349999999998</v>
      </c>
      <c r="E40" s="11">
        <v>5.1139999999999999</v>
      </c>
      <c r="F40" s="11">
        <v>333.15</v>
      </c>
      <c r="G40" s="11">
        <v>0.99</v>
      </c>
      <c r="I40" s="89">
        <v>11.038180000000001</v>
      </c>
      <c r="J40" s="89">
        <v>404.76119999999997</v>
      </c>
      <c r="K40" s="11">
        <v>0.99</v>
      </c>
      <c r="P40" s="90">
        <v>20.387450000000001</v>
      </c>
    </row>
    <row r="41" spans="1:22">
      <c r="A41" s="11" t="s">
        <v>44</v>
      </c>
      <c r="B41" s="11" t="s">
        <v>64</v>
      </c>
      <c r="C41" s="11">
        <v>7950</v>
      </c>
      <c r="D41" s="89">
        <v>21.809349999999998</v>
      </c>
      <c r="E41" s="11">
        <v>5.1139999999999999</v>
      </c>
      <c r="F41" s="11">
        <v>333.15</v>
      </c>
      <c r="G41" s="11">
        <v>0.99</v>
      </c>
      <c r="I41" s="89">
        <v>10.806660000000001</v>
      </c>
      <c r="J41" s="89">
        <v>403.8202</v>
      </c>
      <c r="K41" s="11">
        <v>0.99</v>
      </c>
      <c r="P41" s="90">
        <v>20.633109999999999</v>
      </c>
    </row>
    <row r="42" spans="1:22">
      <c r="A42" s="11" t="s">
        <v>44</v>
      </c>
      <c r="B42" s="11" t="s">
        <v>64</v>
      </c>
      <c r="C42" s="11">
        <v>7950</v>
      </c>
      <c r="D42" s="89">
        <v>21.809349999999998</v>
      </c>
      <c r="E42" s="11">
        <v>5.1139999999999999</v>
      </c>
      <c r="F42" s="11">
        <v>333.15</v>
      </c>
      <c r="G42" s="11">
        <v>0.99</v>
      </c>
      <c r="I42" s="89">
        <v>10.17784</v>
      </c>
      <c r="J42" s="89">
        <v>401.37790000000001</v>
      </c>
      <c r="K42" s="11">
        <v>0.99</v>
      </c>
      <c r="P42" s="90">
        <v>21.222290000000001</v>
      </c>
    </row>
    <row r="43" spans="1:22">
      <c r="A43" s="11" t="s">
        <v>44</v>
      </c>
      <c r="B43" s="11" t="s">
        <v>64</v>
      </c>
      <c r="C43" s="11">
        <v>7950</v>
      </c>
      <c r="D43" s="89">
        <v>21.809349999999998</v>
      </c>
      <c r="E43" s="11">
        <v>5.1139999999999999</v>
      </c>
      <c r="F43" s="11">
        <v>333.15</v>
      </c>
      <c r="G43" s="11">
        <v>0.99</v>
      </c>
      <c r="I43" s="89">
        <v>9.8498730000000005</v>
      </c>
      <c r="J43" s="89">
        <v>400.2448</v>
      </c>
      <c r="K43" s="11">
        <v>0.99</v>
      </c>
      <c r="P43" s="90">
        <v>21.458449999999999</v>
      </c>
    </row>
    <row r="44" spans="1:22">
      <c r="A44" s="11" t="s">
        <v>44</v>
      </c>
      <c r="B44" s="11" t="s">
        <v>64</v>
      </c>
      <c r="C44" s="11">
        <v>7950</v>
      </c>
      <c r="D44" s="89">
        <v>21.809349999999998</v>
      </c>
      <c r="E44" s="11">
        <v>5.1139999999999999</v>
      </c>
      <c r="F44" s="11">
        <v>333.15</v>
      </c>
      <c r="G44" s="11">
        <v>0.99</v>
      </c>
      <c r="I44" s="89">
        <v>9.2638219999999993</v>
      </c>
      <c r="J44" s="89">
        <v>398.44040000000001</v>
      </c>
      <c r="K44" s="11">
        <v>0.99</v>
      </c>
      <c r="P44" s="90">
        <v>21.788730000000001</v>
      </c>
    </row>
    <row r="45" spans="1:22">
      <c r="A45" s="11" t="s">
        <v>44</v>
      </c>
      <c r="B45" s="11" t="s">
        <v>64</v>
      </c>
      <c r="C45" s="11">
        <v>7950</v>
      </c>
      <c r="D45" s="89">
        <v>21.809349999999998</v>
      </c>
      <c r="E45" s="11">
        <v>5.1139999999999999</v>
      </c>
      <c r="F45" s="11">
        <v>333.15</v>
      </c>
      <c r="G45" s="11">
        <v>0.99</v>
      </c>
      <c r="I45" s="89">
        <v>8.5546000000000006</v>
      </c>
      <c r="J45" s="89">
        <v>396.45190000000002</v>
      </c>
      <c r="K45" s="11">
        <v>0.99</v>
      </c>
      <c r="P45" s="90">
        <v>22.091270000000002</v>
      </c>
    </row>
    <row r="46" spans="1:22">
      <c r="A46" s="11" t="s">
        <v>44</v>
      </c>
      <c r="B46" s="11" t="s">
        <v>64</v>
      </c>
      <c r="C46" s="11">
        <v>7950</v>
      </c>
      <c r="D46" s="89">
        <v>21.809349999999998</v>
      </c>
      <c r="E46" s="11">
        <v>5.1139999999999999</v>
      </c>
      <c r="F46" s="11">
        <v>333.15</v>
      </c>
      <c r="G46" s="11">
        <v>0.99</v>
      </c>
      <c r="I46" s="89">
        <v>8.193168</v>
      </c>
      <c r="J46" s="89">
        <v>395.44740000000002</v>
      </c>
      <c r="K46" s="11">
        <v>0.99</v>
      </c>
      <c r="P46" s="90">
        <v>22.222660000000001</v>
      </c>
    </row>
    <row r="47" spans="1:22">
      <c r="A47" s="111" t="s">
        <v>44</v>
      </c>
      <c r="B47" s="111" t="s">
        <v>64</v>
      </c>
      <c r="C47" s="111">
        <v>7552.5</v>
      </c>
      <c r="D47" s="118">
        <v>21.809349999999998</v>
      </c>
      <c r="E47" s="111">
        <v>5.1139999999999999</v>
      </c>
      <c r="F47" s="111">
        <v>333.15</v>
      </c>
      <c r="G47" s="111">
        <v>0.99</v>
      </c>
      <c r="H47" s="111"/>
      <c r="I47" s="118">
        <v>12.92961</v>
      </c>
      <c r="J47" s="118">
        <v>415.94850000000002</v>
      </c>
      <c r="K47" s="111">
        <v>0.99</v>
      </c>
      <c r="L47" s="111"/>
      <c r="M47" s="111"/>
      <c r="N47" s="111"/>
      <c r="O47" s="111"/>
      <c r="P47" s="119">
        <v>11.912739999999999</v>
      </c>
      <c r="Q47" s="111"/>
      <c r="R47" s="111"/>
      <c r="S47" s="111"/>
      <c r="T47" s="111"/>
      <c r="U47" s="111"/>
      <c r="V47" s="111"/>
    </row>
    <row r="48" spans="1:22">
      <c r="A48" s="11" t="s">
        <v>44</v>
      </c>
      <c r="B48" s="11" t="s">
        <v>64</v>
      </c>
      <c r="C48" s="11">
        <v>7552.5</v>
      </c>
      <c r="D48" s="89">
        <v>21.809349999999998</v>
      </c>
      <c r="E48" s="11">
        <v>5.1139999999999999</v>
      </c>
      <c r="F48" s="11">
        <v>333.15</v>
      </c>
      <c r="G48" s="11">
        <v>0.99</v>
      </c>
      <c r="I48" s="89">
        <v>12.90057</v>
      </c>
      <c r="J48" s="89">
        <v>415.28219999999999</v>
      </c>
      <c r="K48" s="11">
        <v>0.99</v>
      </c>
      <c r="P48" s="90">
        <v>12.22969</v>
      </c>
    </row>
    <row r="49" spans="1:16">
      <c r="A49" s="11" t="s">
        <v>44</v>
      </c>
      <c r="B49" s="11" t="s">
        <v>64</v>
      </c>
      <c r="C49" s="11">
        <v>7552.5</v>
      </c>
      <c r="D49" s="89">
        <v>21.809349999999998</v>
      </c>
      <c r="E49" s="11">
        <v>5.1139999999999999</v>
      </c>
      <c r="F49" s="11">
        <v>333.15</v>
      </c>
      <c r="G49" s="11">
        <v>0.99</v>
      </c>
      <c r="I49" s="89">
        <v>12.89057</v>
      </c>
      <c r="J49" s="89">
        <v>415.0813</v>
      </c>
      <c r="K49" s="11">
        <v>0.99</v>
      </c>
      <c r="P49" s="90">
        <v>12.32442</v>
      </c>
    </row>
    <row r="50" spans="1:16">
      <c r="A50" s="11" t="s">
        <v>44</v>
      </c>
      <c r="B50" s="11" t="s">
        <v>64</v>
      </c>
      <c r="C50" s="11">
        <v>7552.5</v>
      </c>
      <c r="D50" s="89">
        <v>21.809349999999998</v>
      </c>
      <c r="E50" s="11">
        <v>5.1139999999999999</v>
      </c>
      <c r="F50" s="11">
        <v>333.15</v>
      </c>
      <c r="G50" s="11">
        <v>0.99</v>
      </c>
      <c r="I50" s="89">
        <v>12.86347</v>
      </c>
      <c r="J50" s="89">
        <v>414.5883</v>
      </c>
      <c r="K50" s="11">
        <v>0.99</v>
      </c>
      <c r="P50" s="90">
        <v>12.555070000000001</v>
      </c>
    </row>
    <row r="51" spans="1:16">
      <c r="A51" s="11" t="s">
        <v>44</v>
      </c>
      <c r="B51" s="11" t="s">
        <v>64</v>
      </c>
      <c r="C51" s="11">
        <v>7552.5</v>
      </c>
      <c r="D51" s="89">
        <v>21.809349999999998</v>
      </c>
      <c r="E51" s="11">
        <v>5.1139999999999999</v>
      </c>
      <c r="F51" s="11">
        <v>333.15</v>
      </c>
      <c r="G51" s="11">
        <v>0.99</v>
      </c>
      <c r="I51" s="89">
        <v>12.837820000000001</v>
      </c>
      <c r="J51" s="89">
        <v>414.1789</v>
      </c>
      <c r="K51" s="11">
        <v>0.99</v>
      </c>
      <c r="P51" s="90">
        <v>12.744249999999999</v>
      </c>
    </row>
    <row r="52" spans="1:16">
      <c r="A52" s="11" t="s">
        <v>44</v>
      </c>
      <c r="B52" s="11" t="s">
        <v>64</v>
      </c>
      <c r="C52" s="11">
        <v>7552.5</v>
      </c>
      <c r="D52" s="89">
        <v>21.809349999999998</v>
      </c>
      <c r="E52" s="11">
        <v>5.1139999999999999</v>
      </c>
      <c r="F52" s="11">
        <v>333.15</v>
      </c>
      <c r="G52" s="11">
        <v>0.99</v>
      </c>
      <c r="I52" s="89">
        <v>12.708550000000001</v>
      </c>
      <c r="J52" s="89">
        <v>412.541</v>
      </c>
      <c r="K52" s="11">
        <v>0.99</v>
      </c>
      <c r="P52" s="90">
        <v>13.469569999999999</v>
      </c>
    </row>
    <row r="53" spans="1:16">
      <c r="A53" s="11" t="s">
        <v>44</v>
      </c>
      <c r="B53" s="11" t="s">
        <v>64</v>
      </c>
      <c r="C53" s="11">
        <v>7552.5</v>
      </c>
      <c r="D53" s="89">
        <v>21.809349999999998</v>
      </c>
      <c r="E53" s="11">
        <v>5.1139999999999999</v>
      </c>
      <c r="F53" s="11">
        <v>333.15</v>
      </c>
      <c r="G53" s="11">
        <v>0.99</v>
      </c>
      <c r="I53" s="89">
        <v>12.49006</v>
      </c>
      <c r="J53" s="89">
        <v>410.45319999999998</v>
      </c>
      <c r="K53" s="11">
        <v>0.99</v>
      </c>
      <c r="P53" s="90">
        <v>14.410130000000001</v>
      </c>
    </row>
    <row r="54" spans="1:16">
      <c r="A54" s="11" t="s">
        <v>44</v>
      </c>
      <c r="B54" s="11" t="s">
        <v>64</v>
      </c>
      <c r="C54" s="11">
        <v>7552.5</v>
      </c>
      <c r="D54" s="89">
        <v>21.809349999999998</v>
      </c>
      <c r="E54" s="11">
        <v>5.1139999999999999</v>
      </c>
      <c r="F54" s="11">
        <v>333.15</v>
      </c>
      <c r="G54" s="11">
        <v>0.99</v>
      </c>
      <c r="I54" s="89">
        <v>12.32521</v>
      </c>
      <c r="J54" s="89">
        <v>409.16590000000002</v>
      </c>
      <c r="K54" s="11">
        <v>0.99</v>
      </c>
      <c r="P54" s="90">
        <v>14.980449999999999</v>
      </c>
    </row>
    <row r="55" spans="1:16">
      <c r="A55" s="11" t="s">
        <v>44</v>
      </c>
      <c r="B55" s="11" t="s">
        <v>64</v>
      </c>
      <c r="C55" s="11">
        <v>7552.5</v>
      </c>
      <c r="D55" s="89">
        <v>21.809349999999998</v>
      </c>
      <c r="E55" s="11">
        <v>5.1139999999999999</v>
      </c>
      <c r="F55" s="11">
        <v>333.15</v>
      </c>
      <c r="G55" s="11">
        <v>0.99</v>
      </c>
      <c r="I55" s="89">
        <v>12.04706</v>
      </c>
      <c r="J55" s="89">
        <v>407.24430000000001</v>
      </c>
      <c r="K55" s="11">
        <v>0.99</v>
      </c>
      <c r="P55" s="90">
        <v>15.75132</v>
      </c>
    </row>
    <row r="56" spans="1:16">
      <c r="A56" s="11" t="s">
        <v>44</v>
      </c>
      <c r="B56" s="11" t="s">
        <v>64</v>
      </c>
      <c r="C56" s="11">
        <v>7552.5</v>
      </c>
      <c r="D56" s="89">
        <v>21.809349999999998</v>
      </c>
      <c r="E56" s="11">
        <v>5.1139999999999999</v>
      </c>
      <c r="F56" s="11">
        <v>333.15</v>
      </c>
      <c r="G56" s="11">
        <v>0.99</v>
      </c>
      <c r="I56" s="89">
        <v>11.914149999999999</v>
      </c>
      <c r="J56" s="89">
        <v>406.39069999999998</v>
      </c>
      <c r="K56" s="11">
        <v>0.99</v>
      </c>
      <c r="P56" s="90">
        <v>16.08249</v>
      </c>
    </row>
    <row r="57" spans="1:16">
      <c r="A57" s="11" t="s">
        <v>44</v>
      </c>
      <c r="B57" s="11" t="s">
        <v>64</v>
      </c>
      <c r="C57" s="11">
        <v>7552.5</v>
      </c>
      <c r="D57" s="89">
        <v>21.809349999999998</v>
      </c>
      <c r="E57" s="11">
        <v>5.1139999999999999</v>
      </c>
      <c r="F57" s="11">
        <v>333.15</v>
      </c>
      <c r="G57" s="11">
        <v>0.99</v>
      </c>
      <c r="I57" s="89">
        <v>11.66197</v>
      </c>
      <c r="J57" s="89">
        <v>404.8159</v>
      </c>
      <c r="K57" s="11">
        <v>0.99</v>
      </c>
      <c r="P57" s="90">
        <v>16.680959999999999</v>
      </c>
    </row>
    <row r="58" spans="1:16">
      <c r="A58" s="11" t="s">
        <v>44</v>
      </c>
      <c r="B58" s="11" t="s">
        <v>64</v>
      </c>
      <c r="C58" s="11">
        <v>7552.5</v>
      </c>
      <c r="D58" s="89">
        <v>21.809349999999998</v>
      </c>
      <c r="E58" s="11">
        <v>5.1139999999999999</v>
      </c>
      <c r="F58" s="11">
        <v>333.15</v>
      </c>
      <c r="G58" s="11">
        <v>0.99</v>
      </c>
      <c r="I58" s="89">
        <v>11.510479999999999</v>
      </c>
      <c r="J58" s="89">
        <v>403.92509999999999</v>
      </c>
      <c r="K58" s="11">
        <v>0.99</v>
      </c>
      <c r="P58" s="90">
        <v>17.01041</v>
      </c>
    </row>
    <row r="59" spans="1:16">
      <c r="A59" s="11" t="s">
        <v>44</v>
      </c>
      <c r="B59" s="11" t="s">
        <v>64</v>
      </c>
      <c r="C59" s="11">
        <v>7552.5</v>
      </c>
      <c r="D59" s="89">
        <v>21.809349999999998</v>
      </c>
      <c r="E59" s="11">
        <v>5.1139999999999999</v>
      </c>
      <c r="F59" s="11">
        <v>333.15</v>
      </c>
      <c r="G59" s="11">
        <v>0.99</v>
      </c>
      <c r="I59" s="89">
        <v>11.06504</v>
      </c>
      <c r="J59" s="89">
        <v>401.5351</v>
      </c>
      <c r="K59" s="11">
        <v>0.99</v>
      </c>
      <c r="P59" s="90">
        <v>17.861080000000001</v>
      </c>
    </row>
    <row r="60" spans="1:16">
      <c r="A60" s="11" t="s">
        <v>44</v>
      </c>
      <c r="B60" s="11" t="s">
        <v>64</v>
      </c>
      <c r="C60" s="11">
        <v>7552.5</v>
      </c>
      <c r="D60" s="89">
        <v>21.809349999999998</v>
      </c>
      <c r="E60" s="11">
        <v>5.1139999999999999</v>
      </c>
      <c r="F60" s="11">
        <v>333.15</v>
      </c>
      <c r="G60" s="11">
        <v>0.99</v>
      </c>
      <c r="I60" s="89">
        <v>10.83709</v>
      </c>
      <c r="J60" s="89">
        <v>400.37610000000001</v>
      </c>
      <c r="K60" s="11">
        <v>0.99</v>
      </c>
      <c r="P60" s="90">
        <v>18.253319999999999</v>
      </c>
    </row>
    <row r="61" spans="1:16">
      <c r="A61" s="11" t="s">
        <v>44</v>
      </c>
      <c r="B61" s="11" t="s">
        <v>64</v>
      </c>
      <c r="C61" s="11">
        <v>7552.5</v>
      </c>
      <c r="D61" s="89">
        <v>21.809349999999998</v>
      </c>
      <c r="E61" s="11">
        <v>5.1139999999999999</v>
      </c>
      <c r="F61" s="11">
        <v>333.15</v>
      </c>
      <c r="G61" s="11">
        <v>0.99</v>
      </c>
      <c r="I61" s="89">
        <v>10.27342</v>
      </c>
      <c r="J61" s="89">
        <v>397.8279</v>
      </c>
      <c r="K61" s="11">
        <v>0.99</v>
      </c>
      <c r="P61" s="90">
        <v>19.02402</v>
      </c>
    </row>
    <row r="62" spans="1:16">
      <c r="A62" s="11" t="s">
        <v>44</v>
      </c>
      <c r="B62" s="11" t="s">
        <v>64</v>
      </c>
      <c r="C62" s="11">
        <v>7552.5</v>
      </c>
      <c r="D62" s="89">
        <v>21.809349999999998</v>
      </c>
      <c r="E62" s="11">
        <v>5.1139999999999999</v>
      </c>
      <c r="F62" s="11">
        <v>333.15</v>
      </c>
      <c r="G62" s="11">
        <v>0.99</v>
      </c>
      <c r="I62" s="89">
        <v>10.045389999999999</v>
      </c>
      <c r="J62" s="89">
        <v>396.8657</v>
      </c>
      <c r="K62" s="11">
        <v>0.99</v>
      </c>
      <c r="P62" s="90">
        <v>19.285599999999999</v>
      </c>
    </row>
    <row r="63" spans="1:16">
      <c r="A63" s="11" t="s">
        <v>44</v>
      </c>
      <c r="B63" s="11" t="s">
        <v>64</v>
      </c>
      <c r="C63" s="11">
        <v>7552.5</v>
      </c>
      <c r="D63" s="89">
        <v>21.809349999999998</v>
      </c>
      <c r="E63" s="11">
        <v>5.1139999999999999</v>
      </c>
      <c r="F63" s="11">
        <v>333.15</v>
      </c>
      <c r="G63" s="11">
        <v>0.99</v>
      </c>
      <c r="I63" s="89">
        <v>9.5518699999999992</v>
      </c>
      <c r="J63" s="89">
        <v>394.9348</v>
      </c>
      <c r="K63" s="11">
        <v>0.99</v>
      </c>
      <c r="P63" s="90">
        <v>19.777229999999999</v>
      </c>
    </row>
    <row r="64" spans="1:16">
      <c r="A64" s="11" t="s">
        <v>44</v>
      </c>
      <c r="B64" s="11" t="s">
        <v>64</v>
      </c>
      <c r="C64" s="11">
        <v>7552.5</v>
      </c>
      <c r="D64" s="89">
        <v>21.809349999999998</v>
      </c>
      <c r="E64" s="11">
        <v>5.1139999999999999</v>
      </c>
      <c r="F64" s="11">
        <v>333.15</v>
      </c>
      <c r="G64" s="11">
        <v>0.99</v>
      </c>
      <c r="I64" s="89">
        <v>9.2950330000000001</v>
      </c>
      <c r="J64" s="89">
        <v>393.98689999999999</v>
      </c>
      <c r="K64" s="11">
        <v>0.99</v>
      </c>
      <c r="P64" s="90">
        <v>20.003830000000001</v>
      </c>
    </row>
    <row r="65" spans="1:22">
      <c r="A65" s="11" t="s">
        <v>44</v>
      </c>
      <c r="B65" s="11" t="s">
        <v>64</v>
      </c>
      <c r="C65" s="11">
        <v>7552.5</v>
      </c>
      <c r="D65" s="89">
        <v>21.809349999999998</v>
      </c>
      <c r="E65" s="11">
        <v>5.1139999999999999</v>
      </c>
      <c r="F65" s="11">
        <v>333.15</v>
      </c>
      <c r="G65" s="11">
        <v>0.99</v>
      </c>
      <c r="I65" s="89">
        <v>8.7607370000000007</v>
      </c>
      <c r="J65" s="89">
        <v>392.1866</v>
      </c>
      <c r="K65" s="11">
        <v>0.99</v>
      </c>
      <c r="P65" s="90">
        <v>20.4038</v>
      </c>
    </row>
    <row r="66" spans="1:22">
      <c r="A66" s="11" t="s">
        <v>44</v>
      </c>
      <c r="B66" s="11" t="s">
        <v>64</v>
      </c>
      <c r="C66" s="11">
        <v>7552.5</v>
      </c>
      <c r="D66" s="89">
        <v>21.809349999999998</v>
      </c>
      <c r="E66" s="11">
        <v>5.1139999999999999</v>
      </c>
      <c r="F66" s="11">
        <v>333.15</v>
      </c>
      <c r="G66" s="11">
        <v>0.99</v>
      </c>
      <c r="I66" s="89">
        <v>8.4970029999999994</v>
      </c>
      <c r="J66" s="89">
        <v>391.36430000000001</v>
      </c>
      <c r="K66" s="11">
        <v>0.99</v>
      </c>
      <c r="P66" s="90">
        <v>20.56935</v>
      </c>
    </row>
    <row r="67" spans="1:22">
      <c r="A67" s="11" t="s">
        <v>44</v>
      </c>
      <c r="B67" s="11" t="s">
        <v>64</v>
      </c>
      <c r="C67" s="11">
        <v>7552.5</v>
      </c>
      <c r="D67" s="89">
        <v>21.809349999999998</v>
      </c>
      <c r="E67" s="11">
        <v>5.1139999999999999</v>
      </c>
      <c r="F67" s="11">
        <v>333.15</v>
      </c>
      <c r="G67" s="11">
        <v>0.99</v>
      </c>
      <c r="I67" s="89">
        <v>8.0117619999999992</v>
      </c>
      <c r="J67" s="89">
        <v>389.88709999999998</v>
      </c>
      <c r="K67" s="11">
        <v>0.99</v>
      </c>
      <c r="P67" s="90">
        <v>20.840440000000001</v>
      </c>
    </row>
    <row r="68" spans="1:22">
      <c r="A68" s="11" t="s">
        <v>44</v>
      </c>
      <c r="B68" s="11" t="s">
        <v>64</v>
      </c>
      <c r="C68" s="11">
        <v>7552.5</v>
      </c>
      <c r="D68" s="89">
        <v>21.809349999999998</v>
      </c>
      <c r="E68" s="11">
        <v>5.1139999999999999</v>
      </c>
      <c r="F68" s="11">
        <v>333.15</v>
      </c>
      <c r="G68" s="11">
        <v>0.99</v>
      </c>
      <c r="I68" s="89">
        <v>7.749619</v>
      </c>
      <c r="J68" s="89">
        <v>389.08170000000001</v>
      </c>
      <c r="K68" s="11">
        <v>0.99</v>
      </c>
      <c r="P68" s="90">
        <v>20.97636</v>
      </c>
    </row>
    <row r="69" spans="1:22">
      <c r="A69" s="111" t="s">
        <v>44</v>
      </c>
      <c r="B69" s="111" t="s">
        <v>64</v>
      </c>
      <c r="C69" s="111">
        <v>7155</v>
      </c>
      <c r="D69" s="118">
        <v>21.809349999999998</v>
      </c>
      <c r="E69" s="111">
        <v>5.1139999999999999</v>
      </c>
      <c r="F69" s="111">
        <v>333.15</v>
      </c>
      <c r="G69" s="111">
        <v>0.99</v>
      </c>
      <c r="H69" s="111"/>
      <c r="I69" s="118">
        <v>11.880229999999999</v>
      </c>
      <c r="J69" s="118">
        <v>407.83580000000001</v>
      </c>
      <c r="K69" s="111">
        <v>0.99</v>
      </c>
      <c r="L69" s="111"/>
      <c r="M69" s="111"/>
      <c r="N69" s="111"/>
      <c r="O69" s="111"/>
      <c r="P69" s="119">
        <v>10.96509</v>
      </c>
      <c r="Q69" s="111"/>
      <c r="R69" s="111"/>
      <c r="S69" s="111"/>
      <c r="T69" s="111"/>
      <c r="U69" s="111"/>
      <c r="V69" s="111"/>
    </row>
    <row r="70" spans="1:22">
      <c r="A70" s="11" t="s">
        <v>44</v>
      </c>
      <c r="B70" s="11" t="s">
        <v>64</v>
      </c>
      <c r="C70" s="11">
        <v>7155</v>
      </c>
      <c r="D70" s="89">
        <v>21.809349999999998</v>
      </c>
      <c r="E70" s="11">
        <v>5.1139999999999999</v>
      </c>
      <c r="F70" s="11">
        <v>333.15</v>
      </c>
      <c r="G70" s="11">
        <v>0.99</v>
      </c>
      <c r="I70" s="89">
        <v>11.86018</v>
      </c>
      <c r="J70" s="89">
        <v>407.34750000000003</v>
      </c>
      <c r="K70" s="11">
        <v>0.99</v>
      </c>
      <c r="P70" s="90">
        <v>11.199299999999999</v>
      </c>
    </row>
    <row r="71" spans="1:22">
      <c r="A71" s="11" t="s">
        <v>44</v>
      </c>
      <c r="B71" s="11" t="s">
        <v>64</v>
      </c>
      <c r="C71" s="11">
        <v>7155</v>
      </c>
      <c r="D71" s="89">
        <v>21.809349999999998</v>
      </c>
      <c r="E71" s="11">
        <v>5.1139999999999999</v>
      </c>
      <c r="F71" s="11">
        <v>333.15</v>
      </c>
      <c r="G71" s="11">
        <v>0.99</v>
      </c>
      <c r="I71" s="89">
        <v>11.772309999999999</v>
      </c>
      <c r="J71" s="89">
        <v>405.82479999999998</v>
      </c>
      <c r="K71" s="11">
        <v>0.99</v>
      </c>
      <c r="P71" s="90">
        <v>11.901910000000001</v>
      </c>
    </row>
    <row r="72" spans="1:22">
      <c r="A72" s="11" t="s">
        <v>44</v>
      </c>
      <c r="B72" s="11" t="s">
        <v>64</v>
      </c>
      <c r="C72" s="11">
        <v>7155</v>
      </c>
      <c r="D72" s="89">
        <v>21.809349999999998</v>
      </c>
      <c r="E72" s="11">
        <v>5.1139999999999999</v>
      </c>
      <c r="F72" s="11">
        <v>333.15</v>
      </c>
      <c r="G72" s="11">
        <v>0.99</v>
      </c>
      <c r="I72" s="89">
        <v>11.67009</v>
      </c>
      <c r="J72" s="89">
        <v>404.53809999999999</v>
      </c>
      <c r="K72" s="11">
        <v>0.99</v>
      </c>
      <c r="P72" s="90">
        <v>12.47817</v>
      </c>
    </row>
    <row r="73" spans="1:22">
      <c r="A73" s="11" t="s">
        <v>44</v>
      </c>
      <c r="B73" s="11" t="s">
        <v>64</v>
      </c>
      <c r="C73" s="11">
        <v>7155</v>
      </c>
      <c r="D73" s="89">
        <v>21.809349999999998</v>
      </c>
      <c r="E73" s="11">
        <v>5.1139999999999999</v>
      </c>
      <c r="F73" s="11">
        <v>333.15</v>
      </c>
      <c r="G73" s="11">
        <v>0.99</v>
      </c>
      <c r="I73" s="89">
        <v>11.6409</v>
      </c>
      <c r="J73" s="89">
        <v>404.22269999999997</v>
      </c>
      <c r="K73" s="11">
        <v>0.99</v>
      </c>
      <c r="P73" s="90">
        <v>12.6219</v>
      </c>
    </row>
    <row r="74" spans="1:22">
      <c r="A74" s="11" t="s">
        <v>44</v>
      </c>
      <c r="B74" s="11" t="s">
        <v>64</v>
      </c>
      <c r="C74" s="11">
        <v>7155</v>
      </c>
      <c r="D74" s="89">
        <v>21.809349999999998</v>
      </c>
      <c r="E74" s="11">
        <v>5.1139999999999999</v>
      </c>
      <c r="F74" s="11">
        <v>333.15</v>
      </c>
      <c r="G74" s="11">
        <v>0.99</v>
      </c>
      <c r="I74" s="89">
        <v>11.63336</v>
      </c>
      <c r="J74" s="89">
        <v>404.14420000000001</v>
      </c>
      <c r="K74" s="11">
        <v>0.99</v>
      </c>
      <c r="P74" s="90">
        <v>12.657539999999999</v>
      </c>
    </row>
    <row r="75" spans="1:22">
      <c r="A75" s="11" t="s">
        <v>44</v>
      </c>
      <c r="B75" s="11" t="s">
        <v>64</v>
      </c>
      <c r="C75" s="11">
        <v>7155</v>
      </c>
      <c r="D75" s="89">
        <v>21.809349999999998</v>
      </c>
      <c r="E75" s="11">
        <v>5.1139999999999999</v>
      </c>
      <c r="F75" s="11">
        <v>333.15</v>
      </c>
      <c r="G75" s="11">
        <v>0.99</v>
      </c>
      <c r="I75" s="89">
        <v>11.474500000000001</v>
      </c>
      <c r="J75" s="89">
        <v>402.6884</v>
      </c>
      <c r="K75" s="11">
        <v>0.99</v>
      </c>
      <c r="P75" s="90">
        <v>13.33779</v>
      </c>
    </row>
    <row r="76" spans="1:22">
      <c r="A76" s="11" t="s">
        <v>44</v>
      </c>
      <c r="B76" s="11" t="s">
        <v>64</v>
      </c>
      <c r="C76" s="11">
        <v>7155</v>
      </c>
      <c r="D76" s="89">
        <v>21.809349999999998</v>
      </c>
      <c r="E76" s="11">
        <v>5.1139999999999999</v>
      </c>
      <c r="F76" s="11">
        <v>333.15</v>
      </c>
      <c r="G76" s="11">
        <v>0.99</v>
      </c>
      <c r="I76" s="89">
        <v>11.342610000000001</v>
      </c>
      <c r="J76" s="89">
        <v>401.62509999999997</v>
      </c>
      <c r="K76" s="11">
        <v>0.99</v>
      </c>
      <c r="P76" s="90">
        <v>13.804650000000001</v>
      </c>
    </row>
    <row r="77" spans="1:22">
      <c r="A77" s="11" t="s">
        <v>44</v>
      </c>
      <c r="B77" s="11" t="s">
        <v>64</v>
      </c>
      <c r="C77" s="11">
        <v>7155</v>
      </c>
      <c r="D77" s="89">
        <v>21.809349999999998</v>
      </c>
      <c r="E77" s="11">
        <v>5.1139999999999999</v>
      </c>
      <c r="F77" s="11">
        <v>333.15</v>
      </c>
      <c r="G77" s="11">
        <v>0.99</v>
      </c>
      <c r="I77" s="89">
        <v>11.12208</v>
      </c>
      <c r="J77" s="89">
        <v>400.00150000000002</v>
      </c>
      <c r="K77" s="11">
        <v>0.99</v>
      </c>
      <c r="P77" s="90">
        <v>14.47269</v>
      </c>
    </row>
    <row r="78" spans="1:22">
      <c r="A78" s="11" t="s">
        <v>44</v>
      </c>
      <c r="B78" s="11" t="s">
        <v>64</v>
      </c>
      <c r="C78" s="11">
        <v>7155</v>
      </c>
      <c r="D78" s="89">
        <v>21.809349999999998</v>
      </c>
      <c r="E78" s="11">
        <v>5.1139999999999999</v>
      </c>
      <c r="F78" s="11">
        <v>333.15</v>
      </c>
      <c r="G78" s="11">
        <v>0.99</v>
      </c>
      <c r="I78" s="89">
        <v>11.003780000000001</v>
      </c>
      <c r="J78" s="89">
        <v>399.1771</v>
      </c>
      <c r="K78" s="11">
        <v>0.99</v>
      </c>
      <c r="P78" s="90">
        <v>14.805289999999999</v>
      </c>
    </row>
    <row r="79" spans="1:22">
      <c r="A79" s="11" t="s">
        <v>44</v>
      </c>
      <c r="B79" s="11" t="s">
        <v>64</v>
      </c>
      <c r="C79" s="11">
        <v>7155</v>
      </c>
      <c r="D79" s="89">
        <v>21.809349999999998</v>
      </c>
      <c r="E79" s="11">
        <v>5.1139999999999999</v>
      </c>
      <c r="F79" s="11">
        <v>333.15</v>
      </c>
      <c r="G79" s="11">
        <v>0.99</v>
      </c>
      <c r="I79" s="89">
        <v>10.77769</v>
      </c>
      <c r="J79" s="89">
        <v>397.64949999999999</v>
      </c>
      <c r="K79" s="11">
        <v>0.99</v>
      </c>
      <c r="P79" s="90">
        <v>15.408810000000001</v>
      </c>
    </row>
    <row r="80" spans="1:22">
      <c r="A80" s="11" t="s">
        <v>44</v>
      </c>
      <c r="B80" s="11" t="s">
        <v>64</v>
      </c>
      <c r="C80" s="11">
        <v>7155</v>
      </c>
      <c r="D80" s="89">
        <v>21.809349999999998</v>
      </c>
      <c r="E80" s="11">
        <v>5.1139999999999999</v>
      </c>
      <c r="F80" s="11">
        <v>333.15</v>
      </c>
      <c r="G80" s="11">
        <v>0.99</v>
      </c>
      <c r="I80" s="89">
        <v>10.65066</v>
      </c>
      <c r="J80" s="89">
        <v>396.83530000000002</v>
      </c>
      <c r="K80" s="11">
        <v>0.99</v>
      </c>
      <c r="P80" s="90">
        <v>15.722580000000001</v>
      </c>
    </row>
    <row r="81" spans="1:22">
      <c r="A81" s="11" t="s">
        <v>44</v>
      </c>
      <c r="B81" s="11" t="s">
        <v>64</v>
      </c>
      <c r="C81" s="11">
        <v>7155</v>
      </c>
      <c r="D81" s="89">
        <v>21.809349999999998</v>
      </c>
      <c r="E81" s="11">
        <v>5.1139999999999999</v>
      </c>
      <c r="F81" s="11">
        <v>333.15</v>
      </c>
      <c r="G81" s="11">
        <v>0.99</v>
      </c>
      <c r="I81" s="89">
        <v>10.258900000000001</v>
      </c>
      <c r="J81" s="89">
        <v>394.52499999999998</v>
      </c>
      <c r="K81" s="11">
        <v>0.99</v>
      </c>
      <c r="P81" s="90">
        <v>16.571870000000001</v>
      </c>
    </row>
    <row r="82" spans="1:22">
      <c r="A82" s="11" t="s">
        <v>44</v>
      </c>
      <c r="B82" s="11" t="s">
        <v>64</v>
      </c>
      <c r="C82" s="11">
        <v>7155</v>
      </c>
      <c r="D82" s="89">
        <v>21.809349999999998</v>
      </c>
      <c r="E82" s="11">
        <v>5.1139999999999999</v>
      </c>
      <c r="F82" s="11">
        <v>333.15</v>
      </c>
      <c r="G82" s="11">
        <v>0.99</v>
      </c>
      <c r="I82" s="89">
        <v>10.05092</v>
      </c>
      <c r="J82" s="89">
        <v>393.45740000000001</v>
      </c>
      <c r="K82" s="11">
        <v>0.99</v>
      </c>
      <c r="P82" s="90">
        <v>16.950659999999999</v>
      </c>
    </row>
    <row r="83" spans="1:22">
      <c r="A83" s="11" t="s">
        <v>44</v>
      </c>
      <c r="B83" s="11" t="s">
        <v>64</v>
      </c>
      <c r="C83" s="11">
        <v>7155</v>
      </c>
      <c r="D83" s="89">
        <v>21.809349999999998</v>
      </c>
      <c r="E83" s="11">
        <v>5.1139999999999999</v>
      </c>
      <c r="F83" s="11">
        <v>333.15</v>
      </c>
      <c r="G83" s="11">
        <v>0.99</v>
      </c>
      <c r="I83" s="89">
        <v>9.6248330000000006</v>
      </c>
      <c r="J83" s="89">
        <v>391.46260000000001</v>
      </c>
      <c r="K83" s="11">
        <v>0.99</v>
      </c>
      <c r="P83" s="90">
        <v>17.605550000000001</v>
      </c>
    </row>
    <row r="84" spans="1:22">
      <c r="A84" s="11" t="s">
        <v>44</v>
      </c>
      <c r="B84" s="11" t="s">
        <v>64</v>
      </c>
      <c r="C84" s="11">
        <v>7155</v>
      </c>
      <c r="D84" s="89">
        <v>21.809349999999998</v>
      </c>
      <c r="E84" s="11">
        <v>5.1139999999999999</v>
      </c>
      <c r="F84" s="11">
        <v>333.15</v>
      </c>
      <c r="G84" s="11">
        <v>0.99</v>
      </c>
      <c r="I84" s="89">
        <v>9.3956140000000001</v>
      </c>
      <c r="J84" s="89">
        <v>390.47579999999999</v>
      </c>
      <c r="K84" s="11">
        <v>0.99</v>
      </c>
      <c r="P84" s="90">
        <v>17.897570000000002</v>
      </c>
    </row>
    <row r="85" spans="1:22">
      <c r="A85" s="11" t="s">
        <v>44</v>
      </c>
      <c r="B85" s="11" t="s">
        <v>64</v>
      </c>
      <c r="C85" s="11">
        <v>7155</v>
      </c>
      <c r="D85" s="89">
        <v>21.809349999999998</v>
      </c>
      <c r="E85" s="11">
        <v>5.1139999999999999</v>
      </c>
      <c r="F85" s="11">
        <v>333.15</v>
      </c>
      <c r="G85" s="11">
        <v>0.99</v>
      </c>
      <c r="I85" s="89">
        <v>8.9791070000000008</v>
      </c>
      <c r="J85" s="89">
        <v>388.79629999999997</v>
      </c>
      <c r="K85" s="11">
        <v>0.99</v>
      </c>
      <c r="P85" s="90">
        <v>18.365919999999999</v>
      </c>
    </row>
    <row r="86" spans="1:22">
      <c r="A86" s="11" t="s">
        <v>44</v>
      </c>
      <c r="B86" s="11" t="s">
        <v>64</v>
      </c>
      <c r="C86" s="11">
        <v>7155</v>
      </c>
      <c r="D86" s="89">
        <v>21.809349999999998</v>
      </c>
      <c r="E86" s="11">
        <v>5.1139999999999999</v>
      </c>
      <c r="F86" s="11">
        <v>333.15</v>
      </c>
      <c r="G86" s="11">
        <v>0.99</v>
      </c>
      <c r="I86" s="89">
        <v>8.7461970000000004</v>
      </c>
      <c r="J86" s="89">
        <v>387.899</v>
      </c>
      <c r="K86" s="11">
        <v>0.99</v>
      </c>
      <c r="P86" s="90">
        <v>18.602530000000002</v>
      </c>
    </row>
    <row r="87" spans="1:22">
      <c r="A87" s="11" t="s">
        <v>44</v>
      </c>
      <c r="B87" s="11" t="s">
        <v>64</v>
      </c>
      <c r="C87" s="11">
        <v>7155</v>
      </c>
      <c r="D87" s="89">
        <v>21.809349999999998</v>
      </c>
      <c r="E87" s="11">
        <v>5.1139999999999999</v>
      </c>
      <c r="F87" s="11">
        <v>333.15</v>
      </c>
      <c r="G87" s="11">
        <v>0.99</v>
      </c>
      <c r="I87" s="89">
        <v>8.2972169999999998</v>
      </c>
      <c r="J87" s="89">
        <v>386.27730000000003</v>
      </c>
      <c r="K87" s="11">
        <v>0.99</v>
      </c>
      <c r="P87" s="90">
        <v>19.013200000000001</v>
      </c>
    </row>
    <row r="88" spans="1:22">
      <c r="A88" s="11" t="s">
        <v>44</v>
      </c>
      <c r="B88" s="11" t="s">
        <v>64</v>
      </c>
      <c r="C88" s="11">
        <v>7155</v>
      </c>
      <c r="D88" s="89">
        <v>21.809349999999998</v>
      </c>
      <c r="E88" s="11">
        <v>5.1139999999999999</v>
      </c>
      <c r="F88" s="11">
        <v>333.15</v>
      </c>
      <c r="G88" s="11">
        <v>0.99</v>
      </c>
      <c r="I88" s="89">
        <v>8.0626320000000007</v>
      </c>
      <c r="J88" s="89">
        <v>385.45819999999998</v>
      </c>
      <c r="K88" s="11">
        <v>0.99</v>
      </c>
      <c r="P88" s="90">
        <v>19.207370000000001</v>
      </c>
    </row>
    <row r="89" spans="1:22">
      <c r="A89" s="11" t="s">
        <v>44</v>
      </c>
      <c r="B89" s="11" t="s">
        <v>64</v>
      </c>
      <c r="C89" s="11">
        <v>7155</v>
      </c>
      <c r="D89" s="89">
        <v>21.809349999999998</v>
      </c>
      <c r="E89" s="11">
        <v>5.1139999999999999</v>
      </c>
      <c r="F89" s="11">
        <v>333.15</v>
      </c>
      <c r="G89" s="11">
        <v>0.99</v>
      </c>
      <c r="I89" s="89">
        <v>7.6102410000000003</v>
      </c>
      <c r="J89" s="89">
        <v>383.94049999999999</v>
      </c>
      <c r="K89" s="11">
        <v>0.99</v>
      </c>
      <c r="P89" s="90">
        <v>19.542110000000001</v>
      </c>
    </row>
    <row r="90" spans="1:22">
      <c r="A90" s="111" t="s">
        <v>44</v>
      </c>
      <c r="B90" s="111" t="s">
        <v>64</v>
      </c>
      <c r="C90" s="111">
        <v>6757.5</v>
      </c>
      <c r="D90" s="118">
        <v>21.809349999999998</v>
      </c>
      <c r="E90" s="111">
        <v>5.1139999999999999</v>
      </c>
      <c r="F90" s="111">
        <v>333.15</v>
      </c>
      <c r="G90" s="111">
        <v>0.99</v>
      </c>
      <c r="H90" s="111"/>
      <c r="I90" s="118">
        <v>10.94481</v>
      </c>
      <c r="J90" s="118">
        <v>400.11829999999998</v>
      </c>
      <c r="K90" s="111">
        <v>0.99</v>
      </c>
      <c r="L90" s="111"/>
      <c r="M90" s="111"/>
      <c r="N90" s="111"/>
      <c r="O90" s="111"/>
      <c r="P90" s="119">
        <v>10.06972</v>
      </c>
      <c r="Q90" s="111"/>
      <c r="R90" s="111"/>
      <c r="S90" s="111"/>
      <c r="T90" s="111"/>
      <c r="U90" s="111"/>
      <c r="V90" s="111"/>
    </row>
    <row r="91" spans="1:22">
      <c r="A91" s="11" t="s">
        <v>44</v>
      </c>
      <c r="B91" s="11" t="s">
        <v>64</v>
      </c>
      <c r="C91" s="11">
        <v>6757.5</v>
      </c>
      <c r="D91" s="89">
        <v>21.809349999999998</v>
      </c>
      <c r="E91" s="11">
        <v>5.1139999999999999</v>
      </c>
      <c r="F91" s="11">
        <v>333.15</v>
      </c>
      <c r="G91" s="11">
        <v>0.99</v>
      </c>
      <c r="I91" s="89">
        <v>10.930709999999999</v>
      </c>
      <c r="J91" s="89">
        <v>399.75959999999998</v>
      </c>
      <c r="K91" s="11">
        <v>0.99</v>
      </c>
      <c r="P91" s="90">
        <v>10.242990000000001</v>
      </c>
    </row>
    <row r="92" spans="1:22">
      <c r="A92" s="11" t="s">
        <v>44</v>
      </c>
      <c r="B92" s="11" t="s">
        <v>64</v>
      </c>
      <c r="C92" s="11">
        <v>6757.5</v>
      </c>
      <c r="D92" s="89">
        <v>21.809349999999998</v>
      </c>
      <c r="E92" s="11">
        <v>5.1139999999999999</v>
      </c>
      <c r="F92" s="11">
        <v>333.15</v>
      </c>
      <c r="G92" s="11">
        <v>0.99</v>
      </c>
      <c r="I92" s="89">
        <v>10.872070000000001</v>
      </c>
      <c r="J92" s="89">
        <v>398.63409999999999</v>
      </c>
      <c r="K92" s="11">
        <v>0.99</v>
      </c>
      <c r="P92" s="90">
        <v>10.762790000000001</v>
      </c>
    </row>
    <row r="93" spans="1:22">
      <c r="A93" s="11" t="s">
        <v>44</v>
      </c>
      <c r="B93" s="11" t="s">
        <v>64</v>
      </c>
      <c r="C93" s="11">
        <v>6757.5</v>
      </c>
      <c r="D93" s="89">
        <v>21.809349999999998</v>
      </c>
      <c r="E93" s="11">
        <v>5.1139999999999999</v>
      </c>
      <c r="F93" s="11">
        <v>333.15</v>
      </c>
      <c r="G93" s="11">
        <v>0.99</v>
      </c>
      <c r="I93" s="89">
        <v>10.698689999999999</v>
      </c>
      <c r="J93" s="89">
        <v>396.39179999999999</v>
      </c>
      <c r="K93" s="11">
        <v>0.99</v>
      </c>
      <c r="P93" s="90">
        <v>11.802390000000001</v>
      </c>
    </row>
    <row r="94" spans="1:22">
      <c r="A94" s="11" t="s">
        <v>44</v>
      </c>
      <c r="B94" s="11" t="s">
        <v>64</v>
      </c>
      <c r="C94" s="11">
        <v>6757.5</v>
      </c>
      <c r="D94" s="89">
        <v>21.809349999999998</v>
      </c>
      <c r="E94" s="11">
        <v>5.1139999999999999</v>
      </c>
      <c r="F94" s="11">
        <v>333.15</v>
      </c>
      <c r="G94" s="11">
        <v>0.99</v>
      </c>
      <c r="I94" s="89">
        <v>10.54391</v>
      </c>
      <c r="J94" s="89">
        <v>394.91699999999997</v>
      </c>
      <c r="K94" s="11">
        <v>0.99</v>
      </c>
      <c r="P94" s="90">
        <v>12.47766</v>
      </c>
    </row>
    <row r="95" spans="1:22">
      <c r="A95" s="11" t="s">
        <v>44</v>
      </c>
      <c r="B95" s="11" t="s">
        <v>64</v>
      </c>
      <c r="C95" s="11">
        <v>6757.5</v>
      </c>
      <c r="D95" s="89">
        <v>21.809349999999998</v>
      </c>
      <c r="E95" s="11">
        <v>5.1139999999999999</v>
      </c>
      <c r="F95" s="11">
        <v>333.15</v>
      </c>
      <c r="G95" s="11">
        <v>0.99</v>
      </c>
      <c r="I95" s="89">
        <v>10.531739999999999</v>
      </c>
      <c r="J95" s="89">
        <v>394.81009999999998</v>
      </c>
      <c r="K95" s="11">
        <v>0.99</v>
      </c>
      <c r="P95" s="90">
        <v>12.524660000000001</v>
      </c>
    </row>
    <row r="96" spans="1:22">
      <c r="A96" s="11" t="s">
        <v>44</v>
      </c>
      <c r="B96" s="11" t="s">
        <v>64</v>
      </c>
      <c r="C96" s="11">
        <v>6757.5</v>
      </c>
      <c r="D96" s="89">
        <v>21.809349999999998</v>
      </c>
      <c r="E96" s="11">
        <v>5.1139999999999999</v>
      </c>
      <c r="F96" s="11">
        <v>333.15</v>
      </c>
      <c r="G96" s="11">
        <v>0.99</v>
      </c>
      <c r="I96" s="89">
        <v>10.517289999999999</v>
      </c>
      <c r="J96" s="89">
        <v>394.68470000000002</v>
      </c>
      <c r="K96" s="11">
        <v>0.99</v>
      </c>
      <c r="P96" s="90">
        <v>12.57953</v>
      </c>
    </row>
    <row r="97" spans="1:22">
      <c r="A97" s="11" t="s">
        <v>44</v>
      </c>
      <c r="B97" s="11" t="s">
        <v>64</v>
      </c>
      <c r="C97" s="11">
        <v>6757.5</v>
      </c>
      <c r="D97" s="89">
        <v>21.809349999999998</v>
      </c>
      <c r="E97" s="11">
        <v>5.1139999999999999</v>
      </c>
      <c r="F97" s="11">
        <v>333.15</v>
      </c>
      <c r="G97" s="11">
        <v>0.99</v>
      </c>
      <c r="I97" s="89">
        <v>10.455360000000001</v>
      </c>
      <c r="J97" s="89">
        <v>394.16109999999998</v>
      </c>
      <c r="K97" s="11">
        <v>0.99</v>
      </c>
      <c r="P97" s="90">
        <v>12.8057</v>
      </c>
    </row>
    <row r="98" spans="1:22">
      <c r="A98" s="11" t="s">
        <v>44</v>
      </c>
      <c r="B98" s="11" t="s">
        <v>64</v>
      </c>
      <c r="C98" s="11">
        <v>6757.5</v>
      </c>
      <c r="D98" s="89">
        <v>21.809349999999998</v>
      </c>
      <c r="E98" s="11">
        <v>5.1139999999999999</v>
      </c>
      <c r="F98" s="11">
        <v>333.15</v>
      </c>
      <c r="G98" s="11">
        <v>0.99</v>
      </c>
      <c r="I98" s="89">
        <v>10.278409999999999</v>
      </c>
      <c r="J98" s="89">
        <v>392.76549999999997</v>
      </c>
      <c r="K98" s="11">
        <v>0.99</v>
      </c>
      <c r="P98" s="90">
        <v>13.388310000000001</v>
      </c>
    </row>
    <row r="99" spans="1:22">
      <c r="A99" s="11" t="s">
        <v>44</v>
      </c>
      <c r="B99" s="11" t="s">
        <v>64</v>
      </c>
      <c r="C99" s="11">
        <v>6757.5</v>
      </c>
      <c r="D99" s="11">
        <v>21.809349999999998</v>
      </c>
      <c r="E99" s="11">
        <v>5.1139999999999999</v>
      </c>
      <c r="F99" s="11">
        <v>333.15</v>
      </c>
      <c r="G99" s="11">
        <v>0.99</v>
      </c>
      <c r="I99" s="11">
        <v>10.18042</v>
      </c>
      <c r="J99" s="11">
        <v>392.04360000000003</v>
      </c>
      <c r="K99" s="11">
        <v>0.99</v>
      </c>
      <c r="P99" s="90">
        <v>13.68788</v>
      </c>
    </row>
    <row r="100" spans="1:22">
      <c r="A100" s="11" t="s">
        <v>44</v>
      </c>
      <c r="B100" s="11" t="s">
        <v>64</v>
      </c>
      <c r="C100" s="11">
        <v>6757.5</v>
      </c>
      <c r="D100" s="11">
        <v>21.809349999999998</v>
      </c>
      <c r="E100" s="11">
        <v>5.1139999999999999</v>
      </c>
      <c r="F100" s="11">
        <v>333.15</v>
      </c>
      <c r="G100" s="11">
        <v>0.99</v>
      </c>
      <c r="I100" s="11">
        <v>9.9818730000000002</v>
      </c>
      <c r="J100" s="11">
        <v>390.69009999999997</v>
      </c>
      <c r="K100" s="11">
        <v>0.99</v>
      </c>
      <c r="P100" s="90">
        <v>14.239319999999999</v>
      </c>
    </row>
    <row r="101" spans="1:22">
      <c r="A101" s="11" t="s">
        <v>44</v>
      </c>
      <c r="B101" s="11" t="s">
        <v>64</v>
      </c>
      <c r="C101" s="11">
        <v>6757.5</v>
      </c>
      <c r="D101" s="11">
        <v>21.809349999999998</v>
      </c>
      <c r="E101" s="11">
        <v>5.1139999999999999</v>
      </c>
      <c r="F101" s="11">
        <v>333.15</v>
      </c>
      <c r="G101" s="11">
        <v>0.99</v>
      </c>
      <c r="I101" s="11">
        <v>9.8822329999999994</v>
      </c>
      <c r="J101" s="11">
        <v>390.05360000000002</v>
      </c>
      <c r="K101" s="11">
        <v>0.99</v>
      </c>
      <c r="P101" s="90">
        <v>14.492710000000001</v>
      </c>
    </row>
    <row r="102" spans="1:22">
      <c r="A102" s="11" t="s">
        <v>44</v>
      </c>
      <c r="B102" s="11" t="s">
        <v>64</v>
      </c>
      <c r="C102" s="11">
        <v>6757.5</v>
      </c>
      <c r="D102" s="11">
        <v>21.809349999999998</v>
      </c>
      <c r="E102" s="11">
        <v>5.1139999999999999</v>
      </c>
      <c r="F102" s="11">
        <v>333.15</v>
      </c>
      <c r="G102" s="11">
        <v>0.99</v>
      </c>
      <c r="I102" s="11">
        <v>9.5605039999999999</v>
      </c>
      <c r="J102" s="11">
        <v>388.13780000000003</v>
      </c>
      <c r="K102" s="11">
        <v>0.99</v>
      </c>
      <c r="P102" s="90">
        <v>15.231680000000001</v>
      </c>
    </row>
    <row r="103" spans="1:22">
      <c r="A103" s="11" t="s">
        <v>44</v>
      </c>
      <c r="B103" s="11" t="s">
        <v>64</v>
      </c>
      <c r="C103" s="11">
        <v>6757.5</v>
      </c>
      <c r="D103" s="11">
        <v>21.809349999999998</v>
      </c>
      <c r="E103" s="11">
        <v>5.1139999999999999</v>
      </c>
      <c r="F103" s="11">
        <v>333.15</v>
      </c>
      <c r="G103" s="11">
        <v>0.99</v>
      </c>
      <c r="I103" s="11">
        <v>9.3720999999999997</v>
      </c>
      <c r="J103" s="11">
        <v>387.14420000000001</v>
      </c>
      <c r="K103" s="11">
        <v>0.99</v>
      </c>
      <c r="P103" s="90">
        <v>15.598179999999999</v>
      </c>
    </row>
    <row r="104" spans="1:22">
      <c r="A104" s="11" t="s">
        <v>44</v>
      </c>
      <c r="B104" s="11" t="s">
        <v>64</v>
      </c>
      <c r="C104" s="11">
        <v>6757.5</v>
      </c>
      <c r="D104" s="11">
        <v>21.809349999999998</v>
      </c>
      <c r="E104" s="11">
        <v>5.1139999999999999</v>
      </c>
      <c r="F104" s="11">
        <v>333.15</v>
      </c>
      <c r="G104" s="11">
        <v>0.99</v>
      </c>
      <c r="I104" s="11">
        <v>9.0285130000000002</v>
      </c>
      <c r="J104" s="11">
        <v>385.46269999999998</v>
      </c>
      <c r="K104" s="11">
        <v>0.99</v>
      </c>
      <c r="P104" s="90">
        <v>16.204429999999999</v>
      </c>
    </row>
    <row r="105" spans="1:22">
      <c r="A105" s="11" t="s">
        <v>44</v>
      </c>
      <c r="B105" s="11" t="s">
        <v>64</v>
      </c>
      <c r="C105" s="11">
        <v>6757.5</v>
      </c>
      <c r="D105" s="11">
        <v>21.809349999999998</v>
      </c>
      <c r="E105" s="11">
        <v>5.1139999999999999</v>
      </c>
      <c r="F105" s="11">
        <v>333.15</v>
      </c>
      <c r="G105" s="11">
        <v>0.99</v>
      </c>
      <c r="I105" s="11">
        <v>8.8172829999999998</v>
      </c>
      <c r="J105" s="11">
        <v>384.48439999999999</v>
      </c>
      <c r="K105" s="11">
        <v>0.99</v>
      </c>
      <c r="P105" s="90">
        <v>16.532</v>
      </c>
    </row>
    <row r="106" spans="1:22">
      <c r="A106" s="11" t="s">
        <v>44</v>
      </c>
      <c r="B106" s="11" t="s">
        <v>64</v>
      </c>
      <c r="C106" s="11">
        <v>6757.5</v>
      </c>
      <c r="D106" s="89">
        <v>21.809349999999998</v>
      </c>
      <c r="E106" s="11">
        <v>5.1139999999999999</v>
      </c>
      <c r="F106" s="11">
        <v>333.15</v>
      </c>
      <c r="G106" s="11">
        <v>0.99</v>
      </c>
      <c r="I106" s="89">
        <v>8.4277239999999995</v>
      </c>
      <c r="J106" s="89">
        <v>382.81060000000002</v>
      </c>
      <c r="K106" s="11">
        <v>0.99</v>
      </c>
      <c r="P106" s="90">
        <v>17.050979999999999</v>
      </c>
    </row>
    <row r="107" spans="1:22">
      <c r="A107" s="11" t="s">
        <v>44</v>
      </c>
      <c r="B107" s="11" t="s">
        <v>64</v>
      </c>
      <c r="C107" s="11">
        <v>6757.5</v>
      </c>
      <c r="D107" s="89">
        <v>21.809349999999998</v>
      </c>
      <c r="E107" s="11">
        <v>5.1139999999999999</v>
      </c>
      <c r="F107" s="11">
        <v>333.15</v>
      </c>
      <c r="G107" s="11">
        <v>0.99</v>
      </c>
      <c r="I107" s="89">
        <v>8.2334549999999993</v>
      </c>
      <c r="J107" s="89">
        <v>382.02120000000002</v>
      </c>
      <c r="K107" s="11">
        <v>0.99</v>
      </c>
      <c r="P107" s="90">
        <v>17.279229999999998</v>
      </c>
    </row>
    <row r="108" spans="1:22">
      <c r="A108" s="11" t="s">
        <v>44</v>
      </c>
      <c r="B108" s="11" t="s">
        <v>64</v>
      </c>
      <c r="C108" s="11">
        <v>6757.5</v>
      </c>
      <c r="D108" s="89">
        <v>21.809349999999998</v>
      </c>
      <c r="E108" s="11">
        <v>5.1139999999999999</v>
      </c>
      <c r="F108" s="11">
        <v>333.15</v>
      </c>
      <c r="G108" s="11">
        <v>0.99</v>
      </c>
      <c r="I108" s="89">
        <v>7.8653639999999996</v>
      </c>
      <c r="J108" s="89">
        <v>380.5883</v>
      </c>
      <c r="K108" s="11">
        <v>0.99</v>
      </c>
      <c r="P108" s="90">
        <v>17.677250000000001</v>
      </c>
    </row>
    <row r="109" spans="1:22">
      <c r="A109" s="11" t="s">
        <v>44</v>
      </c>
      <c r="B109" s="11" t="s">
        <v>64</v>
      </c>
      <c r="C109" s="11">
        <v>6757.5</v>
      </c>
      <c r="D109" s="89">
        <v>21.809349999999998</v>
      </c>
      <c r="E109" s="11">
        <v>5.1139999999999999</v>
      </c>
      <c r="F109" s="11">
        <v>333.15</v>
      </c>
      <c r="G109" s="11">
        <v>0.99</v>
      </c>
      <c r="I109" s="89">
        <v>7.6590660000000002</v>
      </c>
      <c r="J109" s="89">
        <v>379.81459999999998</v>
      </c>
      <c r="K109" s="11">
        <v>0.99</v>
      </c>
      <c r="P109" s="90">
        <v>17.882660000000001</v>
      </c>
    </row>
    <row r="110" spans="1:22">
      <c r="A110" s="11" t="s">
        <v>44</v>
      </c>
      <c r="B110" s="11" t="s">
        <v>64</v>
      </c>
      <c r="C110" s="11">
        <v>6757.5</v>
      </c>
      <c r="D110" s="89">
        <v>21.809349999999998</v>
      </c>
      <c r="E110" s="11">
        <v>5.1139999999999999</v>
      </c>
      <c r="F110" s="11">
        <v>333.15</v>
      </c>
      <c r="G110" s="11">
        <v>0.99</v>
      </c>
      <c r="I110" s="89">
        <v>7.2678760000000002</v>
      </c>
      <c r="J110" s="89">
        <v>378.42290000000003</v>
      </c>
      <c r="K110" s="11">
        <v>0.99</v>
      </c>
      <c r="P110" s="90">
        <v>18.23648</v>
      </c>
    </row>
    <row r="111" spans="1:22">
      <c r="A111" s="111" t="s">
        <v>44</v>
      </c>
      <c r="B111" s="111" t="s">
        <v>64</v>
      </c>
      <c r="C111" s="111">
        <v>6360</v>
      </c>
      <c r="D111" s="118">
        <v>21.809349999999998</v>
      </c>
      <c r="E111" s="111">
        <v>5.1139999999999999</v>
      </c>
      <c r="F111" s="111">
        <v>333.15</v>
      </c>
      <c r="G111" s="111">
        <v>0.99</v>
      </c>
      <c r="H111" s="111"/>
      <c r="I111" s="118">
        <v>10.12255</v>
      </c>
      <c r="J111" s="118">
        <v>392.71510000000001</v>
      </c>
      <c r="K111" s="111">
        <v>0.99</v>
      </c>
      <c r="L111" s="111"/>
      <c r="M111" s="111"/>
      <c r="N111" s="111"/>
      <c r="O111" s="111"/>
      <c r="P111" s="119">
        <v>9.2292930000000002</v>
      </c>
      <c r="Q111" s="111"/>
      <c r="R111" s="111"/>
      <c r="S111" s="111"/>
      <c r="T111" s="111"/>
      <c r="U111" s="111"/>
      <c r="V111" s="111"/>
    </row>
    <row r="112" spans="1:22">
      <c r="A112" s="11" t="s">
        <v>44</v>
      </c>
      <c r="B112" s="11" t="s">
        <v>64</v>
      </c>
      <c r="C112" s="11">
        <v>6360</v>
      </c>
      <c r="D112" s="89">
        <v>21.809349999999998</v>
      </c>
      <c r="E112" s="11">
        <v>5.1139999999999999</v>
      </c>
      <c r="F112" s="11">
        <v>333.15</v>
      </c>
      <c r="G112" s="11">
        <v>0.99</v>
      </c>
      <c r="I112" s="89">
        <v>10.11251</v>
      </c>
      <c r="J112" s="89">
        <v>392.45940000000002</v>
      </c>
      <c r="K112" s="11">
        <v>0.99</v>
      </c>
      <c r="P112" s="90">
        <v>9.3530870000000004</v>
      </c>
    </row>
    <row r="113" spans="1:16">
      <c r="A113" s="11" t="s">
        <v>44</v>
      </c>
      <c r="B113" s="11" t="s">
        <v>64</v>
      </c>
      <c r="C113" s="11">
        <v>6360</v>
      </c>
      <c r="D113" s="89">
        <v>21.809349999999998</v>
      </c>
      <c r="E113" s="11">
        <v>5.1139999999999999</v>
      </c>
      <c r="F113" s="11">
        <v>333.15</v>
      </c>
      <c r="G113" s="11">
        <v>0.99</v>
      </c>
      <c r="I113" s="89">
        <v>10.0718</v>
      </c>
      <c r="J113" s="89">
        <v>391.65679999999998</v>
      </c>
      <c r="K113" s="11">
        <v>0.99</v>
      </c>
      <c r="P113" s="90">
        <v>9.7244759999999992</v>
      </c>
    </row>
    <row r="114" spans="1:16">
      <c r="A114" s="11" t="s">
        <v>44</v>
      </c>
      <c r="B114" s="11" t="s">
        <v>64</v>
      </c>
      <c r="C114" s="11">
        <v>6360</v>
      </c>
      <c r="D114" s="89">
        <v>21.809349999999998</v>
      </c>
      <c r="E114" s="11">
        <v>5.1139999999999999</v>
      </c>
      <c r="F114" s="11">
        <v>333.15</v>
      </c>
      <c r="G114" s="11">
        <v>0.99</v>
      </c>
      <c r="I114" s="89">
        <v>9.9615989999999996</v>
      </c>
      <c r="J114" s="89">
        <v>390.06990000000002</v>
      </c>
      <c r="K114" s="11">
        <v>0.99</v>
      </c>
      <c r="P114" s="90">
        <v>10.46725</v>
      </c>
    </row>
    <row r="115" spans="1:16">
      <c r="A115" s="11" t="s">
        <v>44</v>
      </c>
      <c r="B115" s="11" t="s">
        <v>64</v>
      </c>
      <c r="C115" s="11">
        <v>6360</v>
      </c>
      <c r="D115" s="89">
        <v>21.809349999999998</v>
      </c>
      <c r="E115" s="11">
        <v>5.1139999999999999</v>
      </c>
      <c r="F115" s="11">
        <v>333.15</v>
      </c>
      <c r="G115" s="11">
        <v>0.99</v>
      </c>
      <c r="I115" s="89">
        <v>9.6836669999999998</v>
      </c>
      <c r="J115" s="89">
        <v>387.37279999999998</v>
      </c>
      <c r="K115" s="11">
        <v>0.99</v>
      </c>
      <c r="P115" s="90">
        <v>11.7052</v>
      </c>
    </row>
    <row r="116" spans="1:16">
      <c r="A116" s="11" t="s">
        <v>44</v>
      </c>
      <c r="B116" s="11" t="s">
        <v>64</v>
      </c>
      <c r="C116" s="11">
        <v>6360</v>
      </c>
      <c r="D116" s="89">
        <v>21.809349999999998</v>
      </c>
      <c r="E116" s="11">
        <v>5.1139999999999999</v>
      </c>
      <c r="F116" s="11">
        <v>333.15</v>
      </c>
      <c r="G116" s="11">
        <v>0.99</v>
      </c>
      <c r="I116" s="89">
        <v>9.5408989999999996</v>
      </c>
      <c r="J116" s="89">
        <v>386.209</v>
      </c>
      <c r="K116" s="11">
        <v>0.99</v>
      </c>
      <c r="P116" s="90">
        <v>12.20786</v>
      </c>
    </row>
    <row r="117" spans="1:16">
      <c r="A117" s="11" t="s">
        <v>44</v>
      </c>
      <c r="B117" s="11" t="s">
        <v>64</v>
      </c>
      <c r="C117" s="11">
        <v>6360</v>
      </c>
      <c r="D117" s="89">
        <v>21.809349999999998</v>
      </c>
      <c r="E117" s="11">
        <v>5.1139999999999999</v>
      </c>
      <c r="F117" s="11">
        <v>333.15</v>
      </c>
      <c r="G117" s="11">
        <v>0.99</v>
      </c>
      <c r="I117" s="89">
        <v>9.4773879999999995</v>
      </c>
      <c r="J117" s="89">
        <v>385.71730000000002</v>
      </c>
      <c r="K117" s="11">
        <v>0.99</v>
      </c>
      <c r="P117" s="90">
        <v>12.418559999999999</v>
      </c>
    </row>
    <row r="118" spans="1:16">
      <c r="A118" s="11" t="s">
        <v>44</v>
      </c>
      <c r="B118" s="11" t="s">
        <v>64</v>
      </c>
      <c r="C118" s="11">
        <v>6360</v>
      </c>
      <c r="D118" s="89">
        <v>21.809349999999998</v>
      </c>
      <c r="E118" s="11">
        <v>5.1139999999999999</v>
      </c>
      <c r="F118" s="11">
        <v>333.15</v>
      </c>
      <c r="G118" s="11">
        <v>0.99</v>
      </c>
      <c r="I118" s="89">
        <v>9.4604999999999997</v>
      </c>
      <c r="J118" s="89">
        <v>385.59</v>
      </c>
      <c r="K118" s="11">
        <v>0.99</v>
      </c>
      <c r="P118" s="90">
        <v>12.473420000000001</v>
      </c>
    </row>
    <row r="119" spans="1:16">
      <c r="A119" s="11" t="s">
        <v>44</v>
      </c>
      <c r="B119" s="11" t="s">
        <v>64</v>
      </c>
      <c r="C119" s="11">
        <v>6360</v>
      </c>
      <c r="D119" s="89">
        <v>21.809349999999998</v>
      </c>
      <c r="E119" s="11">
        <v>5.1139999999999999</v>
      </c>
      <c r="F119" s="11">
        <v>333.15</v>
      </c>
      <c r="G119" s="11">
        <v>0.99</v>
      </c>
      <c r="I119" s="89">
        <v>9.454561</v>
      </c>
      <c r="J119" s="89">
        <v>385.54559999999998</v>
      </c>
      <c r="K119" s="11">
        <v>0.99</v>
      </c>
      <c r="P119" s="90">
        <v>12.492620000000001</v>
      </c>
    </row>
    <row r="120" spans="1:16">
      <c r="A120" s="11" t="s">
        <v>44</v>
      </c>
      <c r="B120" s="11" t="s">
        <v>64</v>
      </c>
      <c r="C120" s="11">
        <v>6360</v>
      </c>
      <c r="D120" s="89">
        <v>21.809349999999998</v>
      </c>
      <c r="E120" s="11">
        <v>5.1139999999999999</v>
      </c>
      <c r="F120" s="11">
        <v>333.15</v>
      </c>
      <c r="G120" s="11">
        <v>0.99</v>
      </c>
      <c r="I120" s="89">
        <v>9.2944309999999994</v>
      </c>
      <c r="J120" s="89">
        <v>384.39870000000002</v>
      </c>
      <c r="K120" s="11">
        <v>0.99</v>
      </c>
      <c r="P120" s="90">
        <v>12.98189</v>
      </c>
    </row>
    <row r="121" spans="1:16">
      <c r="A121" s="11" t="s">
        <v>44</v>
      </c>
      <c r="B121" s="11" t="s">
        <v>64</v>
      </c>
      <c r="C121" s="11">
        <v>6360</v>
      </c>
      <c r="D121" s="89">
        <v>21.809349999999998</v>
      </c>
      <c r="E121" s="11">
        <v>5.1139999999999999</v>
      </c>
      <c r="F121" s="11">
        <v>333.15</v>
      </c>
      <c r="G121" s="11">
        <v>0.99</v>
      </c>
      <c r="I121" s="89">
        <v>9.2088549999999998</v>
      </c>
      <c r="J121" s="89">
        <v>383.81869999999998</v>
      </c>
      <c r="K121" s="11">
        <v>0.99</v>
      </c>
      <c r="P121" s="90">
        <v>13.22484</v>
      </c>
    </row>
    <row r="122" spans="1:16">
      <c r="A122" s="11" t="s">
        <v>44</v>
      </c>
      <c r="B122" s="11" t="s">
        <v>64</v>
      </c>
      <c r="C122" s="11">
        <v>6360</v>
      </c>
      <c r="D122" s="89">
        <v>21.809349999999998</v>
      </c>
      <c r="E122" s="11">
        <v>5.1139999999999999</v>
      </c>
      <c r="F122" s="11">
        <v>333.15</v>
      </c>
      <c r="G122" s="11">
        <v>0.99</v>
      </c>
      <c r="I122" s="89">
        <v>8.9306900000000002</v>
      </c>
      <c r="J122" s="89">
        <v>382.05410000000001</v>
      </c>
      <c r="K122" s="11">
        <v>0.99</v>
      </c>
      <c r="P122" s="90">
        <v>13.94375</v>
      </c>
    </row>
    <row r="123" spans="1:16">
      <c r="A123" s="11" t="s">
        <v>44</v>
      </c>
      <c r="B123" s="11" t="s">
        <v>64</v>
      </c>
      <c r="C123" s="11">
        <v>6360</v>
      </c>
      <c r="D123" s="89">
        <v>21.809349999999998</v>
      </c>
      <c r="E123" s="11">
        <v>5.1139999999999999</v>
      </c>
      <c r="F123" s="11">
        <v>333.15</v>
      </c>
      <c r="G123" s="11">
        <v>0.99</v>
      </c>
      <c r="I123" s="89">
        <v>8.771115</v>
      </c>
      <c r="J123" s="89">
        <v>381.14789999999999</v>
      </c>
      <c r="K123" s="11">
        <v>0.99</v>
      </c>
      <c r="P123" s="90">
        <v>14.29809</v>
      </c>
    </row>
    <row r="124" spans="1:16">
      <c r="A124" s="11" t="s">
        <v>44</v>
      </c>
      <c r="B124" s="11" t="s">
        <v>64</v>
      </c>
      <c r="C124" s="11">
        <v>6360</v>
      </c>
      <c r="D124" s="89">
        <v>21.809349999999998</v>
      </c>
      <c r="E124" s="11">
        <v>5.1139999999999999</v>
      </c>
      <c r="F124" s="11">
        <v>333.15</v>
      </c>
      <c r="G124" s="11">
        <v>0.99</v>
      </c>
      <c r="I124" s="89">
        <v>8.4635929999999995</v>
      </c>
      <c r="J124" s="89">
        <v>379.54910000000001</v>
      </c>
      <c r="K124" s="11">
        <v>0.99</v>
      </c>
      <c r="P124" s="90">
        <v>14.89921</v>
      </c>
    </row>
    <row r="125" spans="1:16">
      <c r="A125" s="11" t="s">
        <v>44</v>
      </c>
      <c r="B125" s="11" t="s">
        <v>64</v>
      </c>
      <c r="C125" s="11">
        <v>6360</v>
      </c>
      <c r="D125" s="89">
        <v>21.809349999999998</v>
      </c>
      <c r="E125" s="11">
        <v>5.1139999999999999</v>
      </c>
      <c r="F125" s="11">
        <v>333.15</v>
      </c>
      <c r="G125" s="11">
        <v>0.99</v>
      </c>
      <c r="I125" s="89">
        <v>8.2990429999999993</v>
      </c>
      <c r="J125" s="89">
        <v>378.74459999999999</v>
      </c>
      <c r="K125" s="11">
        <v>0.99</v>
      </c>
      <c r="P125" s="90">
        <v>15.19228</v>
      </c>
    </row>
    <row r="126" spans="1:16">
      <c r="A126" s="11" t="s">
        <v>44</v>
      </c>
      <c r="B126" s="11" t="s">
        <v>64</v>
      </c>
      <c r="C126" s="11">
        <v>6360</v>
      </c>
      <c r="D126" s="89">
        <v>21.809349999999998</v>
      </c>
      <c r="E126" s="11">
        <v>5.1139999999999999</v>
      </c>
      <c r="F126" s="11">
        <v>333.15</v>
      </c>
      <c r="G126" s="11">
        <v>0.99</v>
      </c>
      <c r="I126" s="89">
        <v>7.9606539999999999</v>
      </c>
      <c r="J126" s="89">
        <v>377.20549999999997</v>
      </c>
      <c r="K126" s="11">
        <v>0.99</v>
      </c>
      <c r="P126" s="90">
        <v>15.7263</v>
      </c>
    </row>
    <row r="127" spans="1:16">
      <c r="A127" s="11" t="s">
        <v>44</v>
      </c>
      <c r="B127" s="11" t="s">
        <v>64</v>
      </c>
      <c r="C127" s="11">
        <v>6360</v>
      </c>
      <c r="D127" s="89">
        <v>21.809349999999998</v>
      </c>
      <c r="E127" s="11">
        <v>5.1139999999999999</v>
      </c>
      <c r="F127" s="11">
        <v>333.15</v>
      </c>
      <c r="G127" s="11">
        <v>0.99</v>
      </c>
      <c r="I127" s="89">
        <v>7.7860060000000004</v>
      </c>
      <c r="J127" s="89">
        <v>376.47550000000001</v>
      </c>
      <c r="K127" s="11">
        <v>0.99</v>
      </c>
      <c r="P127" s="90">
        <v>15.9635</v>
      </c>
    </row>
    <row r="128" spans="1:16">
      <c r="A128" s="11" t="s">
        <v>44</v>
      </c>
      <c r="B128" s="11" t="s">
        <v>64</v>
      </c>
      <c r="C128" s="11">
        <v>6360</v>
      </c>
      <c r="D128" s="89">
        <v>21.809349999999998</v>
      </c>
      <c r="E128" s="11">
        <v>5.1139999999999999</v>
      </c>
      <c r="F128" s="11">
        <v>333.15</v>
      </c>
      <c r="G128" s="11">
        <v>0.99</v>
      </c>
      <c r="I128" s="89">
        <v>7.4763149999999996</v>
      </c>
      <c r="J128" s="89">
        <v>375.22210000000001</v>
      </c>
      <c r="K128" s="11">
        <v>0.99</v>
      </c>
      <c r="P128" s="90">
        <v>16.347709999999999</v>
      </c>
    </row>
    <row r="129" spans="1:22">
      <c r="A129" s="11" t="s">
        <v>44</v>
      </c>
      <c r="B129" s="11" t="s">
        <v>64</v>
      </c>
      <c r="C129" s="11">
        <v>6360</v>
      </c>
      <c r="D129" s="89">
        <v>21.809349999999998</v>
      </c>
      <c r="E129" s="11">
        <v>5.1139999999999999</v>
      </c>
      <c r="F129" s="11">
        <v>333.15</v>
      </c>
      <c r="G129" s="11">
        <v>0.99</v>
      </c>
      <c r="I129" s="89">
        <v>7.2988799999999996</v>
      </c>
      <c r="J129" s="89">
        <v>374.51839999999999</v>
      </c>
      <c r="K129" s="11">
        <v>0.99</v>
      </c>
      <c r="P129" s="90">
        <v>16.548380000000002</v>
      </c>
    </row>
    <row r="130" spans="1:22">
      <c r="A130" s="11" t="s">
        <v>44</v>
      </c>
      <c r="B130" s="11" t="s">
        <v>64</v>
      </c>
      <c r="C130" s="11">
        <v>6360</v>
      </c>
      <c r="D130" s="89">
        <v>21.809349999999998</v>
      </c>
      <c r="E130" s="11">
        <v>5.1139999999999999</v>
      </c>
      <c r="F130" s="11">
        <v>333.15</v>
      </c>
      <c r="G130" s="11">
        <v>0.99</v>
      </c>
      <c r="I130" s="89">
        <v>6.9803360000000003</v>
      </c>
      <c r="J130" s="89">
        <v>373.32929999999999</v>
      </c>
      <c r="K130" s="11">
        <v>0.99</v>
      </c>
      <c r="P130" s="90">
        <v>16.888850000000001</v>
      </c>
    </row>
    <row r="131" spans="1:22">
      <c r="A131" s="11" t="s">
        <v>44</v>
      </c>
      <c r="B131" s="11" t="s">
        <v>64</v>
      </c>
      <c r="C131" s="11">
        <v>6360</v>
      </c>
      <c r="D131" s="89">
        <v>21.809349999999998</v>
      </c>
      <c r="E131" s="11">
        <v>5.1139999999999999</v>
      </c>
      <c r="F131" s="11">
        <v>333.15</v>
      </c>
      <c r="G131" s="11">
        <v>0.99</v>
      </c>
      <c r="I131" s="89">
        <v>6.803941</v>
      </c>
      <c r="J131" s="89">
        <v>372.67840000000001</v>
      </c>
      <c r="K131" s="11">
        <v>0.99</v>
      </c>
      <c r="P131" s="90">
        <v>17.07029</v>
      </c>
    </row>
    <row r="132" spans="1:22">
      <c r="A132" s="111" t="s">
        <v>44</v>
      </c>
      <c r="B132" s="111" t="s">
        <v>64</v>
      </c>
      <c r="C132" s="111">
        <v>5962.5</v>
      </c>
      <c r="D132" s="118">
        <v>21.809349999999998</v>
      </c>
      <c r="E132" s="111">
        <v>5.1139999999999999</v>
      </c>
      <c r="F132" s="111">
        <v>333.15</v>
      </c>
      <c r="G132" s="111">
        <v>0.99</v>
      </c>
      <c r="H132" s="111"/>
      <c r="I132" s="118">
        <v>9.3347270000000009</v>
      </c>
      <c r="J132" s="118">
        <v>385.39870000000002</v>
      </c>
      <c r="K132" s="111">
        <v>0.99</v>
      </c>
      <c r="L132" s="111"/>
      <c r="M132" s="111"/>
      <c r="N132" s="111"/>
      <c r="O132" s="111"/>
      <c r="P132" s="119">
        <v>8.4953249999999993</v>
      </c>
      <c r="Q132" s="111"/>
      <c r="R132" s="111"/>
      <c r="S132" s="111"/>
      <c r="T132" s="111"/>
      <c r="U132" s="111"/>
      <c r="V132" s="111"/>
    </row>
    <row r="133" spans="1:22">
      <c r="A133" s="11" t="s">
        <v>44</v>
      </c>
      <c r="B133" s="11" t="s">
        <v>64</v>
      </c>
      <c r="C133" s="11">
        <v>5962.5</v>
      </c>
      <c r="D133" s="89">
        <v>21.809349999999998</v>
      </c>
      <c r="E133" s="11">
        <v>5.1139999999999999</v>
      </c>
      <c r="F133" s="11">
        <v>333.15</v>
      </c>
      <c r="G133" s="11">
        <v>0.99</v>
      </c>
      <c r="I133" s="89">
        <v>9.3261000000000003</v>
      </c>
      <c r="J133" s="89">
        <v>385.1995</v>
      </c>
      <c r="K133" s="11">
        <v>0.99</v>
      </c>
      <c r="P133" s="90">
        <v>8.5921819999999993</v>
      </c>
    </row>
    <row r="134" spans="1:22">
      <c r="A134" s="11" t="s">
        <v>44</v>
      </c>
      <c r="B134" s="11" t="s">
        <v>64</v>
      </c>
      <c r="C134" s="11">
        <v>5962.5</v>
      </c>
      <c r="D134" s="89">
        <v>21.809349999999998</v>
      </c>
      <c r="E134" s="11">
        <v>5.1139999999999999</v>
      </c>
      <c r="F134" s="11">
        <v>333.15</v>
      </c>
      <c r="G134" s="11">
        <v>0.99</v>
      </c>
      <c r="I134" s="89">
        <v>9.2953150000000004</v>
      </c>
      <c r="J134" s="89">
        <v>384.5883</v>
      </c>
      <c r="K134" s="11">
        <v>0.99</v>
      </c>
      <c r="P134" s="90">
        <v>8.8827499999999997</v>
      </c>
    </row>
    <row r="135" spans="1:22">
      <c r="A135" s="11" t="s">
        <v>44</v>
      </c>
      <c r="B135" s="11" t="s">
        <v>64</v>
      </c>
      <c r="C135" s="11">
        <v>5962.5</v>
      </c>
      <c r="D135" s="89">
        <v>21.809349999999998</v>
      </c>
      <c r="E135" s="11">
        <v>5.1139999999999999</v>
      </c>
      <c r="F135" s="11">
        <v>333.15</v>
      </c>
      <c r="G135" s="11">
        <v>0.99</v>
      </c>
      <c r="I135" s="89">
        <v>9.216253</v>
      </c>
      <c r="J135" s="89">
        <v>383.38010000000003</v>
      </c>
      <c r="K135" s="11">
        <v>0.99</v>
      </c>
      <c r="P135" s="90">
        <v>9.4638869999999997</v>
      </c>
    </row>
    <row r="136" spans="1:22">
      <c r="A136" s="11" t="s">
        <v>44</v>
      </c>
      <c r="B136" s="11" t="s">
        <v>64</v>
      </c>
      <c r="C136" s="11">
        <v>5962.5</v>
      </c>
      <c r="D136" s="89">
        <v>21.809349999999998</v>
      </c>
      <c r="E136" s="11">
        <v>5.1139999999999999</v>
      </c>
      <c r="F136" s="11">
        <v>333.15</v>
      </c>
      <c r="G136" s="11">
        <v>0.99</v>
      </c>
      <c r="I136" s="89">
        <v>9.0312149999999995</v>
      </c>
      <c r="J136" s="89">
        <v>381.33139999999997</v>
      </c>
      <c r="K136" s="11">
        <v>0.99</v>
      </c>
      <c r="P136" s="90">
        <v>10.432449999999999</v>
      </c>
    </row>
    <row r="137" spans="1:22">
      <c r="A137" s="11" t="s">
        <v>44</v>
      </c>
      <c r="B137" s="11" t="s">
        <v>64</v>
      </c>
      <c r="C137" s="11">
        <v>5962.5</v>
      </c>
      <c r="D137" s="89">
        <v>21.809349999999998</v>
      </c>
      <c r="E137" s="11">
        <v>5.1139999999999999</v>
      </c>
      <c r="F137" s="11">
        <v>333.15</v>
      </c>
      <c r="G137" s="11">
        <v>0.99</v>
      </c>
      <c r="I137" s="89">
        <v>8.7858429999999998</v>
      </c>
      <c r="J137" s="89">
        <v>379.17</v>
      </c>
      <c r="K137" s="11">
        <v>0.99</v>
      </c>
      <c r="P137" s="90">
        <v>11.401009999999999</v>
      </c>
    </row>
    <row r="138" spans="1:22">
      <c r="A138" s="11" t="s">
        <v>44</v>
      </c>
      <c r="B138" s="11" t="s">
        <v>64</v>
      </c>
      <c r="C138" s="11">
        <v>5962.5</v>
      </c>
      <c r="D138" s="89">
        <v>21.809349999999998</v>
      </c>
      <c r="E138" s="11">
        <v>5.1139999999999999</v>
      </c>
      <c r="F138" s="11">
        <v>333.15</v>
      </c>
      <c r="G138" s="11">
        <v>0.99</v>
      </c>
      <c r="I138" s="89">
        <v>8.5049530000000004</v>
      </c>
      <c r="J138" s="89">
        <v>377.1105</v>
      </c>
      <c r="K138" s="11">
        <v>0.99</v>
      </c>
      <c r="P138" s="90">
        <v>12.303610000000001</v>
      </c>
    </row>
    <row r="139" spans="1:22">
      <c r="A139" s="11" t="s">
        <v>44</v>
      </c>
      <c r="B139" s="11" t="s">
        <v>64</v>
      </c>
      <c r="C139" s="11">
        <v>5962.5</v>
      </c>
      <c r="D139" s="89">
        <v>21.809349999999998</v>
      </c>
      <c r="E139" s="11">
        <v>5.1139999999999999</v>
      </c>
      <c r="F139" s="11">
        <v>333.15</v>
      </c>
      <c r="G139" s="11">
        <v>0.99</v>
      </c>
      <c r="I139" s="89">
        <v>8.4730129999999999</v>
      </c>
      <c r="J139" s="89">
        <v>376.89710000000002</v>
      </c>
      <c r="K139" s="11">
        <v>0.99</v>
      </c>
      <c r="P139" s="90">
        <v>12.395210000000001</v>
      </c>
    </row>
    <row r="140" spans="1:22">
      <c r="A140" s="11" t="s">
        <v>44</v>
      </c>
      <c r="B140" s="11" t="s">
        <v>64</v>
      </c>
      <c r="C140" s="11">
        <v>5962.5</v>
      </c>
      <c r="D140" s="89">
        <v>21.809349999999998</v>
      </c>
      <c r="E140" s="11">
        <v>5.1139999999999999</v>
      </c>
      <c r="F140" s="11">
        <v>333.15</v>
      </c>
      <c r="G140" s="11">
        <v>0.99</v>
      </c>
      <c r="I140" s="89">
        <v>8.4625269999999997</v>
      </c>
      <c r="J140" s="89">
        <v>376.82780000000002</v>
      </c>
      <c r="K140" s="11">
        <v>0.99</v>
      </c>
      <c r="P140" s="90">
        <v>12.42482</v>
      </c>
    </row>
    <row r="141" spans="1:22">
      <c r="A141" s="11" t="s">
        <v>44</v>
      </c>
      <c r="B141" s="11" t="s">
        <v>64</v>
      </c>
      <c r="C141" s="11">
        <v>5962.5</v>
      </c>
      <c r="D141" s="89">
        <v>21.809349999999998</v>
      </c>
      <c r="E141" s="11">
        <v>5.1139999999999999</v>
      </c>
      <c r="F141" s="11">
        <v>333.15</v>
      </c>
      <c r="G141" s="11">
        <v>0.99</v>
      </c>
      <c r="I141" s="89">
        <v>8.2642330000000008</v>
      </c>
      <c r="J141" s="89">
        <v>375.59089999999998</v>
      </c>
      <c r="K141" s="11">
        <v>0.99</v>
      </c>
      <c r="P141" s="90">
        <v>12.94276</v>
      </c>
    </row>
    <row r="142" spans="1:22">
      <c r="A142" s="11" t="s">
        <v>44</v>
      </c>
      <c r="B142" s="11" t="s">
        <v>64</v>
      </c>
      <c r="C142" s="11">
        <v>5962.5</v>
      </c>
      <c r="D142" s="89">
        <v>21.809349999999998</v>
      </c>
      <c r="E142" s="11">
        <v>5.1139999999999999</v>
      </c>
      <c r="F142" s="11">
        <v>333.15</v>
      </c>
      <c r="G142" s="11">
        <v>0.99</v>
      </c>
      <c r="I142" s="89">
        <v>8.1662189999999999</v>
      </c>
      <c r="J142" s="89">
        <v>375.02589999999998</v>
      </c>
      <c r="K142" s="11">
        <v>0.99</v>
      </c>
      <c r="P142" s="90">
        <v>13.17281</v>
      </c>
    </row>
    <row r="143" spans="1:22">
      <c r="A143" s="11" t="s">
        <v>44</v>
      </c>
      <c r="B143" s="11" t="s">
        <v>64</v>
      </c>
      <c r="C143" s="11">
        <v>5962.5</v>
      </c>
      <c r="D143" s="89">
        <v>21.809349999999998</v>
      </c>
      <c r="E143" s="11">
        <v>5.1139999999999999</v>
      </c>
      <c r="F143" s="11">
        <v>333.15</v>
      </c>
      <c r="G143" s="11">
        <v>0.99</v>
      </c>
      <c r="I143" s="89">
        <v>7.9204160000000003</v>
      </c>
      <c r="J143" s="89">
        <v>373.71249999999998</v>
      </c>
      <c r="K143" s="11">
        <v>0.99</v>
      </c>
      <c r="P143" s="90">
        <v>13.69318</v>
      </c>
    </row>
    <row r="144" spans="1:22">
      <c r="A144" s="11" t="s">
        <v>44</v>
      </c>
      <c r="B144" s="11" t="s">
        <v>64</v>
      </c>
      <c r="C144" s="11">
        <v>5962.5</v>
      </c>
      <c r="D144" s="89">
        <v>21.809349999999998</v>
      </c>
      <c r="E144" s="11">
        <v>5.1139999999999999</v>
      </c>
      <c r="F144" s="11">
        <v>333.15</v>
      </c>
      <c r="G144" s="11">
        <v>0.99</v>
      </c>
      <c r="I144" s="89">
        <v>7.790343</v>
      </c>
      <c r="J144" s="89">
        <v>373.04989999999998</v>
      </c>
      <c r="K144" s="11">
        <v>0.99</v>
      </c>
      <c r="P144" s="90">
        <v>13.94875</v>
      </c>
    </row>
    <row r="145" spans="1:22">
      <c r="A145" s="11" t="s">
        <v>44</v>
      </c>
      <c r="B145" s="11" t="s">
        <v>64</v>
      </c>
      <c r="C145" s="11">
        <v>5962.5</v>
      </c>
      <c r="D145" s="89">
        <v>21.809349999999998</v>
      </c>
      <c r="E145" s="11">
        <v>5.1139999999999999</v>
      </c>
      <c r="F145" s="11">
        <v>333.15</v>
      </c>
      <c r="G145" s="11">
        <v>0.99</v>
      </c>
      <c r="I145" s="89">
        <v>7.5052570000000003</v>
      </c>
      <c r="J145" s="89">
        <v>371.70400000000001</v>
      </c>
      <c r="K145" s="11">
        <v>0.99</v>
      </c>
      <c r="P145" s="90">
        <v>14.446960000000001</v>
      </c>
    </row>
    <row r="146" spans="1:22">
      <c r="A146" s="11" t="s">
        <v>44</v>
      </c>
      <c r="B146" s="11" t="s">
        <v>64</v>
      </c>
      <c r="C146" s="11">
        <v>5962.5</v>
      </c>
      <c r="D146" s="89">
        <v>21.809349999999998</v>
      </c>
      <c r="E146" s="11">
        <v>5.1139999999999999</v>
      </c>
      <c r="F146" s="11">
        <v>333.15</v>
      </c>
      <c r="G146" s="11">
        <v>0.99</v>
      </c>
      <c r="I146" s="89">
        <v>7.3664820000000004</v>
      </c>
      <c r="J146" s="89">
        <v>371.09699999999998</v>
      </c>
      <c r="K146" s="11">
        <v>0.99</v>
      </c>
      <c r="P146" s="90">
        <v>14.662929999999999</v>
      </c>
    </row>
    <row r="147" spans="1:22">
      <c r="A147" s="11" t="s">
        <v>44</v>
      </c>
      <c r="B147" s="11" t="s">
        <v>64</v>
      </c>
      <c r="C147" s="11">
        <v>5962.5</v>
      </c>
      <c r="D147" s="89">
        <v>21.809349999999998</v>
      </c>
      <c r="E147" s="11">
        <v>5.1139999999999999</v>
      </c>
      <c r="F147" s="11">
        <v>333.15</v>
      </c>
      <c r="G147" s="11">
        <v>0.99</v>
      </c>
      <c r="I147" s="89">
        <v>7.0985709999999997</v>
      </c>
      <c r="J147" s="89">
        <v>369.97109999999998</v>
      </c>
      <c r="K147" s="11">
        <v>0.99</v>
      </c>
      <c r="P147" s="90">
        <v>15.04467</v>
      </c>
    </row>
    <row r="148" spans="1:22">
      <c r="A148" s="11" t="s">
        <v>44</v>
      </c>
      <c r="B148" s="11" t="s">
        <v>64</v>
      </c>
      <c r="C148" s="11">
        <v>5962.5</v>
      </c>
      <c r="D148" s="89">
        <v>21.809349999999998</v>
      </c>
      <c r="E148" s="11">
        <v>5.1139999999999999</v>
      </c>
      <c r="F148" s="11">
        <v>333.15</v>
      </c>
      <c r="G148" s="11">
        <v>0.99</v>
      </c>
      <c r="I148" s="89">
        <v>6.9518269999999998</v>
      </c>
      <c r="J148" s="89">
        <v>369.38049999999998</v>
      </c>
      <c r="K148" s="11">
        <v>0.99</v>
      </c>
      <c r="P148" s="90">
        <v>15.23521</v>
      </c>
    </row>
    <row r="149" spans="1:22">
      <c r="A149" s="11" t="s">
        <v>44</v>
      </c>
      <c r="B149" s="11" t="s">
        <v>64</v>
      </c>
      <c r="C149" s="11">
        <v>5962.5</v>
      </c>
      <c r="D149" s="89">
        <v>21.809349999999998</v>
      </c>
      <c r="E149" s="11">
        <v>5.1139999999999999</v>
      </c>
      <c r="F149" s="11">
        <v>333.15</v>
      </c>
      <c r="G149" s="11">
        <v>0.99</v>
      </c>
      <c r="I149" s="89">
        <v>6.6792660000000001</v>
      </c>
      <c r="J149" s="89">
        <v>368.3014</v>
      </c>
      <c r="K149" s="11">
        <v>0.99</v>
      </c>
      <c r="P149" s="90">
        <v>15.56326</v>
      </c>
    </row>
    <row r="150" spans="1:22">
      <c r="A150" s="11" t="s">
        <v>44</v>
      </c>
      <c r="B150" s="11" t="s">
        <v>64</v>
      </c>
      <c r="C150" s="11">
        <v>5962.5</v>
      </c>
      <c r="D150" s="89">
        <v>21.809349999999998</v>
      </c>
      <c r="E150" s="11">
        <v>5.1139999999999999</v>
      </c>
      <c r="F150" s="11">
        <v>333.15</v>
      </c>
      <c r="G150" s="11">
        <v>0.99</v>
      </c>
      <c r="I150" s="89">
        <v>6.5413069999999998</v>
      </c>
      <c r="J150" s="89">
        <v>367.75360000000001</v>
      </c>
      <c r="K150" s="11">
        <v>0.99</v>
      </c>
      <c r="P150" s="90">
        <v>15.727959999999999</v>
      </c>
    </row>
    <row r="151" spans="1:22">
      <c r="A151" s="111" t="s">
        <v>44</v>
      </c>
      <c r="B151" s="111" t="s">
        <v>64</v>
      </c>
      <c r="C151" s="111">
        <v>5565</v>
      </c>
      <c r="D151" s="118">
        <v>21.809349999999998</v>
      </c>
      <c r="E151" s="111">
        <v>5.1139999999999999</v>
      </c>
      <c r="F151" s="111">
        <v>333.15</v>
      </c>
      <c r="G151" s="111">
        <v>0.99</v>
      </c>
      <c r="H151" s="111"/>
      <c r="I151" s="118">
        <v>8.6411020000000001</v>
      </c>
      <c r="J151" s="118">
        <v>378.35</v>
      </c>
      <c r="K151" s="111">
        <v>0.99</v>
      </c>
      <c r="L151" s="111"/>
      <c r="M151" s="111"/>
      <c r="N151" s="111"/>
      <c r="O151" s="111"/>
      <c r="P151" s="119">
        <v>7.8660909999999999</v>
      </c>
      <c r="Q151" s="111"/>
      <c r="R151" s="111"/>
      <c r="S151" s="111"/>
      <c r="T151" s="111"/>
      <c r="U151" s="111"/>
      <c r="V151" s="111"/>
    </row>
    <row r="152" spans="1:22">
      <c r="A152" s="11" t="s">
        <v>44</v>
      </c>
      <c r="B152" s="11" t="s">
        <v>64</v>
      </c>
      <c r="C152" s="11">
        <v>5565</v>
      </c>
      <c r="D152" s="89">
        <v>21.809349999999998</v>
      </c>
      <c r="E152" s="11">
        <v>5.1139999999999999</v>
      </c>
      <c r="F152" s="11">
        <v>333.15</v>
      </c>
      <c r="G152" s="11">
        <v>0.99</v>
      </c>
      <c r="I152" s="89">
        <v>8.6339179999999995</v>
      </c>
      <c r="J152" s="89">
        <v>378.202</v>
      </c>
      <c r="K152" s="11">
        <v>0.99</v>
      </c>
      <c r="P152" s="90">
        <v>7.9392519999999998</v>
      </c>
    </row>
    <row r="153" spans="1:22">
      <c r="A153" s="11" t="s">
        <v>44</v>
      </c>
      <c r="B153" s="11" t="s">
        <v>64</v>
      </c>
      <c r="C153" s="11">
        <v>5565</v>
      </c>
      <c r="D153" s="89">
        <v>21.809349999999998</v>
      </c>
      <c r="E153" s="11">
        <v>5.1139999999999999</v>
      </c>
      <c r="F153" s="11">
        <v>333.15</v>
      </c>
      <c r="G153" s="11">
        <v>0.99</v>
      </c>
      <c r="I153" s="89">
        <v>8.6105339999999995</v>
      </c>
      <c r="J153" s="89">
        <v>377.76429999999999</v>
      </c>
      <c r="K153" s="11">
        <v>0.99</v>
      </c>
      <c r="P153" s="90">
        <v>8.1587370000000004</v>
      </c>
    </row>
    <row r="154" spans="1:22">
      <c r="A154" s="11" t="s">
        <v>44</v>
      </c>
      <c r="B154" s="11" t="s">
        <v>64</v>
      </c>
      <c r="C154" s="11">
        <v>5565</v>
      </c>
      <c r="D154" s="89">
        <v>21.809349999999998</v>
      </c>
      <c r="E154" s="11">
        <v>5.1139999999999999</v>
      </c>
      <c r="F154" s="11">
        <v>333.15</v>
      </c>
      <c r="G154" s="11">
        <v>0.99</v>
      </c>
      <c r="I154" s="89">
        <v>8.5527540000000002</v>
      </c>
      <c r="J154" s="89">
        <v>376.87639999999999</v>
      </c>
      <c r="K154" s="11">
        <v>0.99</v>
      </c>
      <c r="P154" s="90">
        <v>8.5977029999999992</v>
      </c>
    </row>
    <row r="155" spans="1:22">
      <c r="A155" s="11" t="s">
        <v>44</v>
      </c>
      <c r="B155" s="11" t="s">
        <v>64</v>
      </c>
      <c r="C155" s="11">
        <v>5565</v>
      </c>
      <c r="D155" s="89">
        <v>21.809349999999998</v>
      </c>
      <c r="E155" s="11">
        <v>5.1139999999999999</v>
      </c>
      <c r="F155" s="11">
        <v>333.15</v>
      </c>
      <c r="G155" s="11">
        <v>0.99</v>
      </c>
      <c r="I155" s="89">
        <v>8.4283619999999999</v>
      </c>
      <c r="J155" s="89">
        <v>375.37819999999999</v>
      </c>
      <c r="K155" s="11">
        <v>0.99</v>
      </c>
      <c r="P155" s="90">
        <v>9.3293180000000007</v>
      </c>
    </row>
    <row r="156" spans="1:22">
      <c r="A156" s="11" t="s">
        <v>44</v>
      </c>
      <c r="B156" s="11" t="s">
        <v>64</v>
      </c>
      <c r="C156" s="11">
        <v>5565</v>
      </c>
      <c r="D156" s="89">
        <v>21.809349999999998</v>
      </c>
      <c r="E156" s="11">
        <v>5.1139999999999999</v>
      </c>
      <c r="F156" s="11">
        <v>333.15</v>
      </c>
      <c r="G156" s="11">
        <v>0.99</v>
      </c>
      <c r="I156" s="89">
        <v>8.2714890000000008</v>
      </c>
      <c r="J156" s="89">
        <v>373.82639999999998</v>
      </c>
      <c r="K156" s="11">
        <v>0.99</v>
      </c>
      <c r="P156" s="90">
        <v>10.060930000000001</v>
      </c>
    </row>
    <row r="157" spans="1:22">
      <c r="A157" s="11" t="s">
        <v>44</v>
      </c>
      <c r="B157" s="11" t="s">
        <v>64</v>
      </c>
      <c r="C157" s="11">
        <v>5565</v>
      </c>
      <c r="D157" s="89">
        <v>21.809349999999998</v>
      </c>
      <c r="E157" s="11">
        <v>5.1139999999999999</v>
      </c>
      <c r="F157" s="11">
        <v>333.15</v>
      </c>
      <c r="G157" s="11">
        <v>0.99</v>
      </c>
      <c r="I157" s="89">
        <v>8.0806450000000005</v>
      </c>
      <c r="J157" s="89">
        <v>372.23270000000002</v>
      </c>
      <c r="K157" s="11">
        <v>0.99</v>
      </c>
      <c r="P157" s="90">
        <v>10.792540000000001</v>
      </c>
    </row>
    <row r="158" spans="1:22">
      <c r="A158" s="11" t="s">
        <v>44</v>
      </c>
      <c r="B158" s="11" t="s">
        <v>64</v>
      </c>
      <c r="C158" s="11">
        <v>5565</v>
      </c>
      <c r="D158" s="89">
        <v>21.809349999999998</v>
      </c>
      <c r="E158" s="11">
        <v>5.1139999999999999</v>
      </c>
      <c r="F158" s="11">
        <v>333.15</v>
      </c>
      <c r="G158" s="11">
        <v>0.99</v>
      </c>
      <c r="I158" s="89">
        <v>7.683395</v>
      </c>
      <c r="J158" s="89">
        <v>369.56970000000001</v>
      </c>
      <c r="K158" s="11">
        <v>0.99</v>
      </c>
      <c r="P158" s="90">
        <v>11.976279999999999</v>
      </c>
    </row>
    <row r="159" spans="1:22">
      <c r="A159" s="11" t="s">
        <v>44</v>
      </c>
      <c r="B159" s="11" t="s">
        <v>64</v>
      </c>
      <c r="C159" s="11">
        <v>5565</v>
      </c>
      <c r="D159" s="89">
        <v>21.809349999999998</v>
      </c>
      <c r="E159" s="11">
        <v>5.1139999999999999</v>
      </c>
      <c r="F159" s="11">
        <v>333.15</v>
      </c>
      <c r="G159" s="11">
        <v>0.99</v>
      </c>
      <c r="I159" s="89">
        <v>7.601661</v>
      </c>
      <c r="J159" s="89">
        <v>369.09449999999998</v>
      </c>
      <c r="K159" s="11">
        <v>0.99</v>
      </c>
      <c r="P159" s="90">
        <v>12.178229999999999</v>
      </c>
    </row>
    <row r="160" spans="1:22">
      <c r="A160" s="11" t="s">
        <v>44</v>
      </c>
      <c r="B160" s="11" t="s">
        <v>64</v>
      </c>
      <c r="C160" s="11">
        <v>5565</v>
      </c>
      <c r="D160" s="89">
        <v>21.809349999999998</v>
      </c>
      <c r="E160" s="11">
        <v>5.1139999999999999</v>
      </c>
      <c r="F160" s="11">
        <v>333.15</v>
      </c>
      <c r="G160" s="11">
        <v>0.99</v>
      </c>
      <c r="I160" s="89">
        <v>7.5566389999999997</v>
      </c>
      <c r="J160" s="89">
        <v>368.84050000000002</v>
      </c>
      <c r="K160" s="11">
        <v>0.99</v>
      </c>
      <c r="P160" s="90">
        <v>12.28528</v>
      </c>
    </row>
    <row r="161" spans="1:20">
      <c r="A161" s="11" t="s">
        <v>44</v>
      </c>
      <c r="B161" s="11" t="s">
        <v>64</v>
      </c>
      <c r="C161" s="11">
        <v>5565</v>
      </c>
      <c r="D161" s="89">
        <v>21.809349999999998</v>
      </c>
      <c r="E161" s="11">
        <v>5.1139999999999999</v>
      </c>
      <c r="F161" s="11">
        <v>333.15</v>
      </c>
      <c r="G161" s="11">
        <v>0.99</v>
      </c>
      <c r="I161" s="89">
        <v>7.4578230000000003</v>
      </c>
      <c r="J161" s="89">
        <v>368.2978</v>
      </c>
      <c r="K161" s="11">
        <v>0.99</v>
      </c>
      <c r="P161" s="90">
        <v>12.511229999999999</v>
      </c>
    </row>
    <row r="162" spans="1:20">
      <c r="A162" s="11" t="s">
        <v>44</v>
      </c>
      <c r="B162" s="11" t="s">
        <v>64</v>
      </c>
      <c r="C162" s="11">
        <v>5565</v>
      </c>
      <c r="D162" s="89">
        <v>21.809349999999998</v>
      </c>
      <c r="E162" s="11">
        <v>5.1139999999999999</v>
      </c>
      <c r="F162" s="11">
        <v>333.15</v>
      </c>
      <c r="G162" s="11">
        <v>0.99</v>
      </c>
      <c r="I162" s="89">
        <v>7.3473050000000004</v>
      </c>
      <c r="J162" s="89">
        <v>367.70979999999997</v>
      </c>
      <c r="K162" s="11">
        <v>0.99</v>
      </c>
      <c r="P162" s="90">
        <v>12.752000000000001</v>
      </c>
    </row>
    <row r="163" spans="1:20">
      <c r="A163" s="11" t="s">
        <v>44</v>
      </c>
      <c r="B163" s="11" t="s">
        <v>64</v>
      </c>
      <c r="C163" s="11">
        <v>5565</v>
      </c>
      <c r="D163" s="89">
        <v>21.809349999999998</v>
      </c>
      <c r="E163" s="11">
        <v>5.1139999999999999</v>
      </c>
      <c r="F163" s="11">
        <v>333.15</v>
      </c>
      <c r="G163" s="11">
        <v>0.99</v>
      </c>
      <c r="I163" s="89">
        <v>7.1056999999999997</v>
      </c>
      <c r="J163" s="89">
        <v>366.54559999999998</v>
      </c>
      <c r="K163" s="11">
        <v>0.99</v>
      </c>
      <c r="P163" s="90">
        <v>13.20844</v>
      </c>
    </row>
    <row r="164" spans="1:20">
      <c r="A164" s="11" t="s">
        <v>44</v>
      </c>
      <c r="B164" s="11" t="s">
        <v>64</v>
      </c>
      <c r="C164" s="11">
        <v>5565</v>
      </c>
      <c r="D164" s="89">
        <v>21.809349999999998</v>
      </c>
      <c r="E164" s="11">
        <v>5.1139999999999999</v>
      </c>
      <c r="F164" s="11">
        <v>333.15</v>
      </c>
      <c r="G164" s="11">
        <v>0.99</v>
      </c>
      <c r="I164" s="89">
        <v>6.9970379999999999</v>
      </c>
      <c r="J164" s="89">
        <v>366.05239999999998</v>
      </c>
      <c r="K164" s="11">
        <v>0.99</v>
      </c>
      <c r="P164" s="90">
        <v>13.39457</v>
      </c>
    </row>
    <row r="165" spans="1:20">
      <c r="A165" s="11" t="s">
        <v>44</v>
      </c>
      <c r="B165" s="11" t="s">
        <v>64</v>
      </c>
      <c r="C165" s="11">
        <v>5565</v>
      </c>
      <c r="D165" s="89">
        <v>21.809349999999998</v>
      </c>
      <c r="E165" s="11">
        <v>5.1139999999999999</v>
      </c>
      <c r="F165" s="11">
        <v>333.15</v>
      </c>
      <c r="G165" s="11">
        <v>0.99</v>
      </c>
      <c r="I165" s="89">
        <v>6.7752759999999999</v>
      </c>
      <c r="J165" s="89">
        <v>365.07510000000002</v>
      </c>
      <c r="K165" s="11">
        <v>0.99</v>
      </c>
      <c r="P165" s="90">
        <v>13.752179999999999</v>
      </c>
    </row>
    <row r="166" spans="1:20">
      <c r="A166" s="11" t="s">
        <v>44</v>
      </c>
      <c r="B166" s="11" t="s">
        <v>64</v>
      </c>
      <c r="C166" s="11">
        <v>5565</v>
      </c>
      <c r="D166" s="89">
        <v>21.809349999999998</v>
      </c>
      <c r="E166" s="11">
        <v>5.1139999999999999</v>
      </c>
      <c r="F166" s="11">
        <v>333.15</v>
      </c>
      <c r="G166" s="11">
        <v>0.99</v>
      </c>
      <c r="I166" s="89">
        <v>6.6492190000000004</v>
      </c>
      <c r="J166" s="89">
        <v>364.54219999999998</v>
      </c>
      <c r="K166" s="11">
        <v>0.99</v>
      </c>
      <c r="P166" s="90">
        <v>13.939349999999999</v>
      </c>
    </row>
    <row r="167" spans="1:20">
      <c r="A167" s="11" t="s">
        <v>44</v>
      </c>
      <c r="B167" s="11" t="s">
        <v>64</v>
      </c>
      <c r="C167" s="11">
        <v>5565</v>
      </c>
      <c r="D167" s="89">
        <v>21.809349999999998</v>
      </c>
      <c r="E167" s="11">
        <v>5.1139999999999999</v>
      </c>
      <c r="F167" s="11">
        <v>333.15</v>
      </c>
      <c r="G167" s="11">
        <v>0.99</v>
      </c>
      <c r="I167" s="89">
        <v>6.4251420000000001</v>
      </c>
      <c r="J167" s="89">
        <v>363.5994</v>
      </c>
      <c r="K167" s="11">
        <v>0.99</v>
      </c>
      <c r="P167" s="90">
        <v>14.25577</v>
      </c>
    </row>
    <row r="168" spans="1:20">
      <c r="A168" s="11" t="s">
        <v>44</v>
      </c>
      <c r="B168" s="11" t="s">
        <v>64</v>
      </c>
      <c r="C168" s="11">
        <v>5565</v>
      </c>
      <c r="D168" s="89">
        <v>21.809349999999998</v>
      </c>
      <c r="E168" s="11">
        <v>5.1139999999999999</v>
      </c>
      <c r="F168" s="11">
        <v>333.15</v>
      </c>
      <c r="G168" s="11">
        <v>0.99</v>
      </c>
      <c r="I168" s="89">
        <v>6.3044989999999999</v>
      </c>
      <c r="J168" s="89">
        <v>363.07900000000001</v>
      </c>
      <c r="K168" s="11">
        <v>0.99</v>
      </c>
      <c r="P168" s="90">
        <v>14.423769999999999</v>
      </c>
    </row>
    <row r="169" spans="1:20">
      <c r="A169" s="11" t="s">
        <v>52</v>
      </c>
      <c r="B169" s="11" t="s">
        <v>87</v>
      </c>
      <c r="C169" s="11">
        <v>7375</v>
      </c>
      <c r="D169" s="11">
        <v>21.81</v>
      </c>
      <c r="E169" s="11">
        <v>5.2130000000000001</v>
      </c>
      <c r="F169" s="11">
        <v>315.51</v>
      </c>
      <c r="G169" s="11">
        <v>0.99</v>
      </c>
      <c r="I169" s="11">
        <v>12.593</v>
      </c>
      <c r="J169" s="11">
        <v>390.44</v>
      </c>
      <c r="K169" s="11">
        <v>0.99</v>
      </c>
      <c r="P169" s="90">
        <v>12.191774676815374</v>
      </c>
      <c r="T169" s="11">
        <v>17.420000000000002</v>
      </c>
    </row>
    <row r="170" spans="1:20">
      <c r="A170" s="11" t="s">
        <v>52</v>
      </c>
      <c r="B170" s="11" t="s">
        <v>87</v>
      </c>
      <c r="C170" s="11">
        <v>7123</v>
      </c>
      <c r="D170" s="11">
        <v>21.81</v>
      </c>
      <c r="E170" s="11">
        <v>4.9930000000000003</v>
      </c>
      <c r="F170" s="11">
        <v>311.52</v>
      </c>
      <c r="G170" s="11">
        <v>0.99</v>
      </c>
      <c r="I170" s="11">
        <v>11.452999999999999</v>
      </c>
      <c r="J170" s="11">
        <v>383.79999999999995</v>
      </c>
      <c r="K170" s="11">
        <v>0.99</v>
      </c>
      <c r="P170" s="90">
        <v>11.141394708148237</v>
      </c>
      <c r="T170" s="11">
        <v>14.984999999999999</v>
      </c>
    </row>
    <row r="171" spans="1:20">
      <c r="A171" s="11" t="s">
        <v>52</v>
      </c>
      <c r="B171" s="11" t="s">
        <v>87</v>
      </c>
      <c r="C171" s="11">
        <v>6453</v>
      </c>
      <c r="D171" s="11">
        <v>21.81</v>
      </c>
      <c r="E171" s="11">
        <v>4.6929999999999996</v>
      </c>
      <c r="F171" s="11">
        <v>314.02</v>
      </c>
      <c r="G171" s="11">
        <v>0.99</v>
      </c>
      <c r="I171" s="11">
        <v>9.3529999999999998</v>
      </c>
      <c r="J171" s="11">
        <v>372.4</v>
      </c>
      <c r="K171" s="11">
        <v>0.99</v>
      </c>
      <c r="P171" s="90">
        <v>8.9717757968438381</v>
      </c>
      <c r="T171" s="11">
        <v>10.43</v>
      </c>
    </row>
  </sheetData>
  <sortState xmlns:xlrd2="http://schemas.microsoft.com/office/spreadsheetml/2017/richdata2" ref="A3:V171">
    <sortCondition ref="A3:A171"/>
    <sortCondition ref="B3:B171"/>
    <sortCondition descending="1" ref="C3:C171"/>
  </sortState>
  <pageMargins left="0.7" right="0.7" top="0.75" bottom="0.75" header="0.3" footer="0.3"/>
  <pageSetup paperSize="8" orientation="landscape"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CF567-8BE9-4BF1-87E8-E94CAC94BA18}">
  <sheetPr codeName="Sheet1"/>
  <dimension ref="A1:AN171"/>
  <sheetViews>
    <sheetView topLeftCell="Q1" workbookViewId="0">
      <selection activeCell="AO13" sqref="AO13"/>
    </sheetView>
  </sheetViews>
  <sheetFormatPr defaultRowHeight="15"/>
  <cols>
    <col min="1" max="1" width="10" style="125" bestFit="1" customWidth="1"/>
    <col min="2" max="2" width="12.5703125" style="125" bestFit="1" customWidth="1"/>
    <col min="3" max="3" width="10.5703125" style="125" bestFit="1" customWidth="1"/>
    <col min="4" max="4" width="8.5703125" style="125" bestFit="1" customWidth="1"/>
    <col min="5" max="6" width="9" style="125" bestFit="1" customWidth="1"/>
    <col min="7" max="8" width="7" style="125" bestFit="1" customWidth="1"/>
    <col min="9" max="9" width="10.5703125" style="125" bestFit="1" customWidth="1"/>
    <col min="10" max="10" width="9" style="125" bestFit="1" customWidth="1"/>
    <col min="11" max="12" width="7" style="125" bestFit="1" customWidth="1"/>
    <col min="13" max="13" width="9" style="125" bestFit="1" customWidth="1"/>
    <col min="14" max="14" width="7" style="125" bestFit="1" customWidth="1"/>
    <col min="15" max="15" width="10.5703125" style="125" bestFit="1" customWidth="1"/>
    <col min="16" max="17" width="8" style="125" bestFit="1" customWidth="1"/>
    <col min="18" max="23" width="7" style="125" bestFit="1" customWidth="1"/>
    <col min="24" max="26" width="8.42578125" style="125" bestFit="1" customWidth="1"/>
    <col min="27" max="27" width="7" style="125" bestFit="1" customWidth="1"/>
    <col min="28" max="28" width="9.140625" style="125"/>
    <col min="29" max="29" width="7" style="125" bestFit="1" customWidth="1"/>
    <col min="30" max="30" width="10.5703125" style="125" bestFit="1" customWidth="1"/>
    <col min="31" max="31" width="8" style="125" bestFit="1" customWidth="1"/>
    <col min="32" max="32" width="7" style="125" bestFit="1" customWidth="1"/>
    <col min="33" max="33" width="8.28515625" style="125" bestFit="1" customWidth="1"/>
    <col min="34" max="34" width="9" style="125" bestFit="1" customWidth="1"/>
    <col min="35" max="35" width="7.7109375" style="125" bestFit="1" customWidth="1"/>
    <col min="36" max="36" width="9" style="125" bestFit="1" customWidth="1"/>
    <col min="37" max="37" width="8.28515625" style="125" bestFit="1" customWidth="1"/>
    <col min="38" max="38" width="7.42578125" style="125" bestFit="1" customWidth="1"/>
    <col min="39" max="39" width="8" style="125" bestFit="1" customWidth="1"/>
    <col min="40" max="16384" width="9.140625" style="125"/>
  </cols>
  <sheetData>
    <row r="1" spans="1:40">
      <c r="A1" s="125" t="s">
        <v>22</v>
      </c>
      <c r="B1" s="125" t="s">
        <v>17</v>
      </c>
      <c r="C1" s="125" t="s">
        <v>1</v>
      </c>
      <c r="D1" s="125" t="s">
        <v>2</v>
      </c>
      <c r="E1" s="125" t="s">
        <v>3</v>
      </c>
      <c r="F1" s="125" t="s">
        <v>4</v>
      </c>
      <c r="G1" s="125" t="s">
        <v>5</v>
      </c>
      <c r="H1" s="125" t="s">
        <v>20</v>
      </c>
      <c r="I1" s="125" t="s">
        <v>6</v>
      </c>
      <c r="J1" s="125" t="s">
        <v>7</v>
      </c>
      <c r="K1" s="125" t="s">
        <v>8</v>
      </c>
      <c r="L1" s="125" t="s">
        <v>21</v>
      </c>
      <c r="M1" s="125" t="s">
        <v>18</v>
      </c>
      <c r="N1" s="125" t="s">
        <v>19</v>
      </c>
      <c r="O1" s="125" t="s">
        <v>23</v>
      </c>
      <c r="P1" s="125" t="s">
        <v>34</v>
      </c>
      <c r="Q1" s="125" t="s">
        <v>38</v>
      </c>
      <c r="R1" s="125" t="s">
        <v>36</v>
      </c>
      <c r="S1" s="125" t="s">
        <v>97</v>
      </c>
      <c r="T1" s="125" t="s">
        <v>37</v>
      </c>
      <c r="U1" s="125" t="s">
        <v>95</v>
      </c>
      <c r="V1" s="125" t="s">
        <v>40</v>
      </c>
      <c r="W1" s="125" t="s">
        <v>39</v>
      </c>
      <c r="X1" s="125" t="s">
        <v>113</v>
      </c>
      <c r="Y1" s="125" t="s">
        <v>115</v>
      </c>
      <c r="Z1" s="125" t="s">
        <v>116</v>
      </c>
      <c r="AA1" s="125" t="s">
        <v>117</v>
      </c>
      <c r="AC1" s="125" t="s">
        <v>41</v>
      </c>
      <c r="AD1" s="125" t="s">
        <v>118</v>
      </c>
      <c r="AE1" s="125" t="s">
        <v>119</v>
      </c>
      <c r="AF1" s="125" t="s">
        <v>120</v>
      </c>
      <c r="AG1" s="125" t="s">
        <v>121</v>
      </c>
      <c r="AH1" s="125" t="s">
        <v>122</v>
      </c>
      <c r="AI1" s="125" t="s">
        <v>123</v>
      </c>
      <c r="AJ1" s="125" t="s">
        <v>124</v>
      </c>
      <c r="AK1" s="125" t="s">
        <v>125</v>
      </c>
      <c r="AL1" s="125" t="s">
        <v>126</v>
      </c>
      <c r="AM1" s="125" t="s">
        <v>127</v>
      </c>
      <c r="AN1" s="125" t="s">
        <v>128</v>
      </c>
    </row>
    <row r="2" spans="1:40">
      <c r="C2" s="125" t="s">
        <v>54</v>
      </c>
      <c r="D2" s="125" t="s">
        <v>112</v>
      </c>
      <c r="E2" s="125" t="s">
        <v>56</v>
      </c>
      <c r="F2" s="125" t="s">
        <v>12</v>
      </c>
      <c r="G2" s="125" t="s">
        <v>10</v>
      </c>
      <c r="H2" s="125" t="s">
        <v>10</v>
      </c>
      <c r="I2" s="125" t="s">
        <v>56</v>
      </c>
      <c r="J2" s="125" t="s">
        <v>12</v>
      </c>
      <c r="K2" s="125" t="s">
        <v>10</v>
      </c>
      <c r="L2" s="125" t="s">
        <v>10</v>
      </c>
      <c r="M2" s="125" t="s">
        <v>57</v>
      </c>
      <c r="N2" s="125" t="s">
        <v>11</v>
      </c>
      <c r="O2" s="125" t="s">
        <v>58</v>
      </c>
      <c r="P2" s="125" t="s">
        <v>59</v>
      </c>
      <c r="Q2" s="125" t="s">
        <v>99</v>
      </c>
      <c r="R2" s="125" t="s">
        <v>99</v>
      </c>
      <c r="S2" s="125" t="s">
        <v>61</v>
      </c>
      <c r="T2" s="125" t="s">
        <v>99</v>
      </c>
      <c r="U2" s="125" t="s">
        <v>61</v>
      </c>
      <c r="V2" s="125" t="s">
        <v>10</v>
      </c>
      <c r="W2" s="125" t="s">
        <v>99</v>
      </c>
      <c r="X2" s="125" t="s">
        <v>114</v>
      </c>
      <c r="Y2" s="125" t="s">
        <v>114</v>
      </c>
      <c r="Z2" s="125" t="s">
        <v>114</v>
      </c>
      <c r="AA2" s="125" t="s">
        <v>11</v>
      </c>
      <c r="AC2" s="125" t="s">
        <v>10</v>
      </c>
      <c r="AD2" s="125" t="s">
        <v>61</v>
      </c>
      <c r="AE2" s="125" t="s">
        <v>59</v>
      </c>
      <c r="AF2" s="125" t="s">
        <v>10</v>
      </c>
      <c r="AG2" s="125" t="s">
        <v>10</v>
      </c>
      <c r="AH2" s="125" t="s">
        <v>57</v>
      </c>
      <c r="AI2" s="125" t="s">
        <v>57</v>
      </c>
      <c r="AJ2" s="125" t="s">
        <v>57</v>
      </c>
      <c r="AK2" s="125" t="s">
        <v>59</v>
      </c>
      <c r="AL2" s="125" t="s">
        <v>59</v>
      </c>
      <c r="AM2" s="125" t="s">
        <v>59</v>
      </c>
    </row>
    <row r="3" spans="1:40">
      <c r="A3" s="125" t="s">
        <v>111</v>
      </c>
      <c r="B3" s="125" t="s">
        <v>43</v>
      </c>
      <c r="C3" s="125">
        <v>7950</v>
      </c>
      <c r="D3" s="125">
        <v>21.78</v>
      </c>
      <c r="E3" s="125">
        <v>520</v>
      </c>
      <c r="F3" s="125">
        <v>332.84999999999997</v>
      </c>
      <c r="G3" s="125">
        <v>0.99</v>
      </c>
      <c r="H3" s="125">
        <v>1.34</v>
      </c>
      <c r="K3" s="125">
        <v>0.99</v>
      </c>
      <c r="L3" s="125">
        <v>1.34</v>
      </c>
      <c r="P3" s="125">
        <v>23.5</v>
      </c>
      <c r="Q3" s="125">
        <v>11.982652921997634</v>
      </c>
      <c r="R3" s="125">
        <v>5.6849229541638993</v>
      </c>
      <c r="S3" s="125">
        <v>7</v>
      </c>
      <c r="V3" s="125">
        <v>4.368649504020528</v>
      </c>
      <c r="W3" s="125">
        <v>2.5236066666666668E-2</v>
      </c>
      <c r="X3" s="125">
        <v>4.133741158758804</v>
      </c>
      <c r="Z3" s="125">
        <v>0.93043595637291521</v>
      </c>
      <c r="AA3" s="125">
        <v>1</v>
      </c>
      <c r="AE3" s="125">
        <v>23.5</v>
      </c>
      <c r="AK3" s="125">
        <v>2.6457513110645907</v>
      </c>
      <c r="AL3" s="125">
        <v>0.11602387022306428</v>
      </c>
      <c r="AM3" s="125">
        <v>5.6849229541638993</v>
      </c>
    </row>
    <row r="4" spans="1:40">
      <c r="A4" s="125" t="s">
        <v>98</v>
      </c>
      <c r="B4" s="125" t="s">
        <v>47</v>
      </c>
      <c r="I4" s="125">
        <v>1500</v>
      </c>
    </row>
    <row r="5" spans="1:40">
      <c r="A5" s="125" t="s">
        <v>69</v>
      </c>
      <c r="B5" s="125" t="s">
        <v>64</v>
      </c>
      <c r="D5" s="125">
        <v>21.809000000000001</v>
      </c>
      <c r="E5" s="125">
        <v>511.4</v>
      </c>
      <c r="F5" s="125">
        <v>333.15</v>
      </c>
      <c r="G5" s="125">
        <v>0.99</v>
      </c>
      <c r="H5" s="125">
        <v>1.34</v>
      </c>
      <c r="I5" s="125">
        <v>1150.7000619127559</v>
      </c>
      <c r="J5" s="125">
        <v>428.83434161957587</v>
      </c>
      <c r="K5" s="125">
        <v>0.99</v>
      </c>
      <c r="L5" s="125">
        <v>1.34</v>
      </c>
      <c r="M5" s="125">
        <v>116</v>
      </c>
      <c r="N5" s="125">
        <v>0.81499999999999995</v>
      </c>
      <c r="O5" s="125">
        <v>1625.0414891500636</v>
      </c>
      <c r="P5" s="125">
        <v>14.008978354741927</v>
      </c>
      <c r="Q5" s="125">
        <v>15.036338774877875</v>
      </c>
      <c r="R5" s="125">
        <v>3.4444444444444446</v>
      </c>
      <c r="S5" s="125">
        <v>2.5283153604996254</v>
      </c>
      <c r="T5" s="125">
        <v>1.9704594908629449</v>
      </c>
      <c r="U5" s="125">
        <v>1.4463705478038544</v>
      </c>
      <c r="X5" s="125">
        <v>4.067122748150882</v>
      </c>
      <c r="Y5" s="125">
        <v>7.1094982767734152</v>
      </c>
      <c r="Z5" s="125">
        <v>0.93167482885844388</v>
      </c>
      <c r="AC5" s="125">
        <v>2.2500978918904107</v>
      </c>
      <c r="AD5" s="125">
        <v>639.30006191275595</v>
      </c>
      <c r="AE5" s="125">
        <v>14.241501299329615</v>
      </c>
      <c r="AF5" s="125">
        <v>1.4520675442095468</v>
      </c>
      <c r="AG5" s="125">
        <v>0.31132680157494741</v>
      </c>
      <c r="AH5" s="125">
        <v>471.78623878550235</v>
      </c>
      <c r="AI5" s="125">
        <v>0.92253859754693479</v>
      </c>
      <c r="AK5" s="125">
        <v>1.5900677219853327</v>
      </c>
      <c r="AL5" s="125">
        <v>7.0312940363192342E-2</v>
      </c>
      <c r="AN5" s="125">
        <f>AE5/SQRT(1377.043*AC5-1616.279)</f>
        <v>0.36991504542457815</v>
      </c>
    </row>
    <row r="6" spans="1:40">
      <c r="A6" s="125" t="s">
        <v>44</v>
      </c>
      <c r="B6" s="125" t="s">
        <v>64</v>
      </c>
      <c r="C6" s="125">
        <v>8347.5</v>
      </c>
      <c r="D6" s="125">
        <v>21.809349999999998</v>
      </c>
      <c r="E6" s="125">
        <v>511.4</v>
      </c>
      <c r="F6" s="125">
        <v>333.15</v>
      </c>
      <c r="G6" s="125">
        <v>0.99</v>
      </c>
      <c r="H6" s="125">
        <v>1.34</v>
      </c>
      <c r="I6" s="125">
        <v>1533.0930000000001</v>
      </c>
      <c r="J6" s="125">
        <v>431.62729999999999</v>
      </c>
      <c r="K6" s="125">
        <v>0.99</v>
      </c>
      <c r="L6" s="125">
        <v>1.34</v>
      </c>
      <c r="M6" s="125">
        <v>157.56978641556833</v>
      </c>
      <c r="N6" s="125">
        <v>1.0756829269882615</v>
      </c>
      <c r="O6" s="125">
        <v>2330.488655043539</v>
      </c>
      <c r="P6" s="125">
        <v>14.7902</v>
      </c>
      <c r="Q6" s="125">
        <v>15.874597216052157</v>
      </c>
      <c r="R6" s="125">
        <v>3.6364682258941863</v>
      </c>
      <c r="S6" s="125">
        <v>2.8181197171017613</v>
      </c>
      <c r="T6" s="125">
        <v>1.5715966999123301</v>
      </c>
      <c r="U6" s="125">
        <v>1.217925572900048</v>
      </c>
      <c r="X6" s="125">
        <v>4.0671880190464682</v>
      </c>
      <c r="Y6" s="125">
        <v>9.4109385701974659</v>
      </c>
      <c r="Z6" s="125">
        <v>0.931689780767752</v>
      </c>
      <c r="AA6" s="125">
        <v>1.05</v>
      </c>
      <c r="AC6" s="125">
        <v>2.9978353539303875</v>
      </c>
      <c r="AD6" s="125">
        <v>1021.6930000000001</v>
      </c>
      <c r="AE6" s="125">
        <v>15.035569120546594</v>
      </c>
      <c r="AF6" s="125">
        <v>1.3086937823514746</v>
      </c>
      <c r="AG6" s="125">
        <v>0.2358793069199201</v>
      </c>
      <c r="AH6" s="125">
        <v>640.8659474731104</v>
      </c>
      <c r="AI6" s="125">
        <v>1.2531598503580572</v>
      </c>
      <c r="AJ6" s="125">
        <v>142.92044119325925</v>
      </c>
      <c r="AK6" s="125">
        <v>1.6787256229359702</v>
      </c>
      <c r="AL6" s="125">
        <v>7.4233400866902582E-2</v>
      </c>
      <c r="AM6" s="125">
        <v>3.4633030722801772</v>
      </c>
      <c r="AN6" s="125">
        <f t="shared" ref="AN6:AN69" si="0">AE6/SQRT(1377.043*AC6-1616.279)</f>
        <v>0.30000007414352914</v>
      </c>
    </row>
    <row r="7" spans="1:40">
      <c r="A7" s="125" t="s">
        <v>44</v>
      </c>
      <c r="B7" s="125" t="s">
        <v>64</v>
      </c>
      <c r="C7" s="125">
        <v>8347.5</v>
      </c>
      <c r="D7" s="125">
        <v>21.809349999999998</v>
      </c>
      <c r="E7" s="125">
        <v>511.4</v>
      </c>
      <c r="F7" s="125">
        <v>333.15</v>
      </c>
      <c r="G7" s="125">
        <v>0.99</v>
      </c>
      <c r="H7" s="125">
        <v>1.34</v>
      </c>
      <c r="I7" s="125">
        <v>1524.162</v>
      </c>
      <c r="J7" s="125">
        <v>430.46440000000001</v>
      </c>
      <c r="K7" s="125">
        <v>0.99</v>
      </c>
      <c r="L7" s="125">
        <v>1.34</v>
      </c>
      <c r="M7" s="125">
        <v>156.51093409470329</v>
      </c>
      <c r="N7" s="125">
        <v>1.0812224043009142</v>
      </c>
      <c r="O7" s="125">
        <v>2396.0634526799954</v>
      </c>
      <c r="P7" s="125">
        <v>15.309240000000001</v>
      </c>
      <c r="Q7" s="125">
        <v>16.431692518280641</v>
      </c>
      <c r="R7" s="125">
        <v>3.764084652174299</v>
      </c>
      <c r="S7" s="125">
        <v>3.0193857974445408</v>
      </c>
      <c r="T7" s="125">
        <v>1.631873157443682</v>
      </c>
      <c r="U7" s="125">
        <v>1.3090180190209688</v>
      </c>
      <c r="X7" s="125">
        <v>4.0671880190464682</v>
      </c>
      <c r="Y7" s="125">
        <v>9.3813909066203518</v>
      </c>
      <c r="Z7" s="125">
        <v>0.931689780767752</v>
      </c>
      <c r="AA7" s="125">
        <v>1.05</v>
      </c>
      <c r="AC7" s="125">
        <v>2.9803715291357062</v>
      </c>
      <c r="AD7" s="125">
        <v>1012.7620000000001</v>
      </c>
      <c r="AE7" s="125">
        <v>15.56321998370791</v>
      </c>
      <c r="AF7" s="125">
        <v>1.3066272921083164</v>
      </c>
      <c r="AG7" s="125">
        <v>0.23467081543471824</v>
      </c>
      <c r="AH7" s="125">
        <v>636.55939599974863</v>
      </c>
      <c r="AI7" s="125">
        <v>1.2447387485329462</v>
      </c>
      <c r="AJ7" s="125">
        <v>141.96003092490093</v>
      </c>
      <c r="AK7" s="125">
        <v>1.7376379937848219</v>
      </c>
      <c r="AL7" s="125">
        <v>7.6838511303945825E-2</v>
      </c>
      <c r="AM7" s="125">
        <v>3.5848425258802847</v>
      </c>
      <c r="AN7" s="125">
        <f t="shared" si="0"/>
        <v>0.31202537452483642</v>
      </c>
    </row>
    <row r="8" spans="1:40">
      <c r="A8" s="125" t="s">
        <v>44</v>
      </c>
      <c r="B8" s="125" t="s">
        <v>64</v>
      </c>
      <c r="C8" s="125">
        <v>8347.5</v>
      </c>
      <c r="D8" s="125">
        <v>21.809349999999998</v>
      </c>
      <c r="E8" s="125">
        <v>511.4</v>
      </c>
      <c r="F8" s="125">
        <v>333.15</v>
      </c>
      <c r="G8" s="125">
        <v>0.99</v>
      </c>
      <c r="H8" s="125">
        <v>1.34</v>
      </c>
      <c r="I8" s="125">
        <v>1519.79</v>
      </c>
      <c r="J8" s="125">
        <v>429.96249999999998</v>
      </c>
      <c r="K8" s="125">
        <v>0.99</v>
      </c>
      <c r="L8" s="125">
        <v>1.34</v>
      </c>
      <c r="M8" s="125">
        <v>156.00433681266077</v>
      </c>
      <c r="N8" s="125">
        <v>1.0833098666041772</v>
      </c>
      <c r="O8" s="125">
        <v>2422.9485962951103</v>
      </c>
      <c r="P8" s="125">
        <v>15.53129</v>
      </c>
      <c r="Q8" s="125">
        <v>16.670022920291728</v>
      </c>
      <c r="R8" s="125">
        <v>3.8186801119760463</v>
      </c>
      <c r="S8" s="125">
        <v>3.1076092308657466</v>
      </c>
      <c r="T8" s="125">
        <v>1.6583690435629406</v>
      </c>
      <c r="U8" s="125">
        <v>1.3495665509650105</v>
      </c>
      <c r="X8" s="125">
        <v>4.0671880190464682</v>
      </c>
      <c r="Y8" s="125">
        <v>9.3654003373287988</v>
      </c>
      <c r="Z8" s="125">
        <v>0.931689780767752</v>
      </c>
      <c r="AA8" s="125">
        <v>1.05</v>
      </c>
      <c r="AC8" s="125">
        <v>2.9718224481814626</v>
      </c>
      <c r="AD8" s="125">
        <v>1008.39</v>
      </c>
      <c r="AE8" s="125">
        <v>15.788953788742147</v>
      </c>
      <c r="AF8" s="125">
        <v>1.3058557281207801</v>
      </c>
      <c r="AG8" s="125">
        <v>0.2342186211955653</v>
      </c>
      <c r="AH8" s="125">
        <v>634.49896960374372</v>
      </c>
      <c r="AI8" s="125">
        <v>1.2407097567535075</v>
      </c>
      <c r="AJ8" s="125">
        <v>141.50053225638163</v>
      </c>
      <c r="AK8" s="125">
        <v>1.7628412381339809</v>
      </c>
      <c r="AL8" s="125">
        <v>7.795300107842458E-2</v>
      </c>
      <c r="AM8" s="125">
        <v>3.6368382018819485</v>
      </c>
      <c r="AN8" s="125">
        <f t="shared" si="0"/>
        <v>0.31730272190130349</v>
      </c>
    </row>
    <row r="9" spans="1:40">
      <c r="A9" s="125" t="s">
        <v>44</v>
      </c>
      <c r="B9" s="125" t="s">
        <v>64</v>
      </c>
      <c r="C9" s="125">
        <v>8347.5</v>
      </c>
      <c r="D9" s="125">
        <v>21.809349999999998</v>
      </c>
      <c r="E9" s="125">
        <v>511.4</v>
      </c>
      <c r="F9" s="125">
        <v>333.15</v>
      </c>
      <c r="G9" s="125">
        <v>0.99</v>
      </c>
      <c r="H9" s="125">
        <v>1.34</v>
      </c>
      <c r="I9" s="125">
        <v>1519.403</v>
      </c>
      <c r="J9" s="125">
        <v>429.9212</v>
      </c>
      <c r="K9" s="125">
        <v>0.99</v>
      </c>
      <c r="L9" s="125">
        <v>1.34</v>
      </c>
      <c r="M9" s="125">
        <v>155.96005060887035</v>
      </c>
      <c r="N9" s="125">
        <v>1.0834645423290641</v>
      </c>
      <c r="O9" s="125">
        <v>2424.9542044950572</v>
      </c>
      <c r="P9" s="125">
        <v>15.54856</v>
      </c>
      <c r="Q9" s="125">
        <v>16.688559133048905</v>
      </c>
      <c r="R9" s="125">
        <v>3.8229262889216717</v>
      </c>
      <c r="S9" s="125">
        <v>3.1145240782069701</v>
      </c>
      <c r="T9" s="125">
        <v>1.6604764179790201</v>
      </c>
      <c r="U9" s="125">
        <v>1.3527840701708285</v>
      </c>
      <c r="X9" s="125">
        <v>4.0671880190464682</v>
      </c>
      <c r="Y9" s="125">
        <v>9.3639149774401993</v>
      </c>
      <c r="Z9" s="125">
        <v>0.931689780767752</v>
      </c>
      <c r="AA9" s="125">
        <v>1.05</v>
      </c>
      <c r="AC9" s="125">
        <v>2.971065701994525</v>
      </c>
      <c r="AD9" s="125">
        <v>1008.003</v>
      </c>
      <c r="AE9" s="125">
        <v>15.806510297694819</v>
      </c>
      <c r="AF9" s="125">
        <v>1.3057987116527006</v>
      </c>
      <c r="AG9" s="125">
        <v>0.23418518407455202</v>
      </c>
      <c r="AH9" s="125">
        <v>634.31884928627835</v>
      </c>
      <c r="AI9" s="125">
        <v>1.2403575465120813</v>
      </c>
      <c r="AJ9" s="125">
        <v>141.46036336405473</v>
      </c>
      <c r="AK9" s="125">
        <v>1.7648014274152688</v>
      </c>
      <c r="AL9" s="125">
        <v>7.8039680828054167E-2</v>
      </c>
      <c r="AM9" s="125">
        <v>3.6408821799254016</v>
      </c>
      <c r="AN9" s="125">
        <f t="shared" si="0"/>
        <v>0.31772241181095151</v>
      </c>
    </row>
    <row r="10" spans="1:40">
      <c r="A10" s="125" t="s">
        <v>44</v>
      </c>
      <c r="B10" s="125" t="s">
        <v>64</v>
      </c>
      <c r="C10" s="125">
        <v>8347.5</v>
      </c>
      <c r="D10" s="125">
        <v>21.809349999999998</v>
      </c>
      <c r="E10" s="125">
        <v>511.4</v>
      </c>
      <c r="F10" s="125">
        <v>333.15</v>
      </c>
      <c r="G10" s="125">
        <v>0.99</v>
      </c>
      <c r="H10" s="125">
        <v>1.34</v>
      </c>
      <c r="I10" s="125">
        <v>1509.9939999999999</v>
      </c>
      <c r="J10" s="125">
        <v>428.95</v>
      </c>
      <c r="K10" s="125">
        <v>0.99</v>
      </c>
      <c r="L10" s="125">
        <v>1.34</v>
      </c>
      <c r="M10" s="125">
        <v>154.88771100909145</v>
      </c>
      <c r="N10" s="125">
        <v>1.0869233401142728</v>
      </c>
      <c r="O10" s="125">
        <v>2473.2547137787228</v>
      </c>
      <c r="P10" s="125">
        <v>15.96805</v>
      </c>
      <c r="Q10" s="125">
        <v>17.138805565562443</v>
      </c>
      <c r="R10" s="125">
        <v>3.9260663449101201</v>
      </c>
      <c r="S10" s="125">
        <v>3.2848467475839844</v>
      </c>
      <c r="T10" s="125">
        <v>1.7120245612552358</v>
      </c>
      <c r="U10" s="125">
        <v>1.4324104122982935</v>
      </c>
      <c r="X10" s="125">
        <v>4.0671880190464682</v>
      </c>
      <c r="Y10" s="125">
        <v>9.326998199308786</v>
      </c>
      <c r="Z10" s="125">
        <v>0.931689780767752</v>
      </c>
      <c r="AA10" s="125">
        <v>1.05</v>
      </c>
      <c r="AC10" s="125">
        <v>2.9526671881110675</v>
      </c>
      <c r="AD10" s="125">
        <v>998.59399999999994</v>
      </c>
      <c r="AE10" s="125">
        <v>16.232959628358234</v>
      </c>
      <c r="AF10" s="125">
        <v>1.3045292612611854</v>
      </c>
      <c r="AG10" s="125">
        <v>0.23343996206476375</v>
      </c>
      <c r="AH10" s="125">
        <v>629.95744251370843</v>
      </c>
      <c r="AI10" s="125">
        <v>1.2318291797295826</v>
      </c>
      <c r="AJ10" s="125">
        <v>140.48771973613736</v>
      </c>
      <c r="AK10" s="125">
        <v>1.8124146180121106</v>
      </c>
      <c r="AL10" s="125">
        <v>8.014514047901608E-2</v>
      </c>
      <c r="AM10" s="125">
        <v>3.7391108046763049</v>
      </c>
      <c r="AN10" s="125">
        <f t="shared" si="0"/>
        <v>0.32797735279829698</v>
      </c>
    </row>
    <row r="11" spans="1:40">
      <c r="A11" s="125" t="s">
        <v>44</v>
      </c>
      <c r="B11" s="125" t="s">
        <v>64</v>
      </c>
      <c r="C11" s="125">
        <v>8347.5</v>
      </c>
      <c r="D11" s="125">
        <v>21.809349999999998</v>
      </c>
      <c r="E11" s="125">
        <v>511.4</v>
      </c>
      <c r="F11" s="125">
        <v>333.15</v>
      </c>
      <c r="G11" s="125">
        <v>0.99</v>
      </c>
      <c r="H11" s="125">
        <v>1.34</v>
      </c>
      <c r="I11" s="125">
        <v>1497.001</v>
      </c>
      <c r="J11" s="125">
        <v>427.76819999999998</v>
      </c>
      <c r="K11" s="125">
        <v>0.99</v>
      </c>
      <c r="L11" s="125">
        <v>1.34</v>
      </c>
      <c r="M11" s="125">
        <v>153.43077069342922</v>
      </c>
      <c r="N11" s="125">
        <v>1.0901474589757483</v>
      </c>
      <c r="O11" s="125">
        <v>2526.8759114733966</v>
      </c>
      <c r="P11" s="125">
        <v>16.469159999999999</v>
      </c>
      <c r="Q11" s="125">
        <v>17.676656264737293</v>
      </c>
      <c r="R11" s="125">
        <v>4.0492743199664298</v>
      </c>
      <c r="S11" s="125">
        <v>3.4942521621216232</v>
      </c>
      <c r="T11" s="125">
        <v>1.7761699211554869</v>
      </c>
      <c r="U11" s="125">
        <v>1.5327155181090342</v>
      </c>
      <c r="X11" s="125">
        <v>4.0671880190464682</v>
      </c>
      <c r="Y11" s="125">
        <v>9.2722885371721588</v>
      </c>
      <c r="Z11" s="125">
        <v>0.931689780767752</v>
      </c>
      <c r="AA11" s="125">
        <v>1.05</v>
      </c>
      <c r="AC11" s="125">
        <v>2.9272604614782951</v>
      </c>
      <c r="AD11" s="125">
        <v>985.601</v>
      </c>
      <c r="AE11" s="125">
        <v>16.74238303318015</v>
      </c>
      <c r="AF11" s="125">
        <v>1.3033553975387118</v>
      </c>
      <c r="AG11" s="125">
        <v>0.23274956171706929</v>
      </c>
      <c r="AH11" s="125">
        <v>624.03179231738136</v>
      </c>
      <c r="AI11" s="125">
        <v>1.2202420655404407</v>
      </c>
      <c r="AJ11" s="125">
        <v>139.16623192147776</v>
      </c>
      <c r="AK11" s="125">
        <v>1.8692918878873954</v>
      </c>
      <c r="AL11" s="125">
        <v>8.266025856453306E-2</v>
      </c>
      <c r="AM11" s="125">
        <v>3.8564517333013617</v>
      </c>
      <c r="AN11" s="125">
        <f t="shared" si="0"/>
        <v>0.34071172071746481</v>
      </c>
    </row>
    <row r="12" spans="1:40">
      <c r="A12" s="125" t="s">
        <v>44</v>
      </c>
      <c r="B12" s="125" t="s">
        <v>64</v>
      </c>
      <c r="C12" s="125">
        <v>8347.5</v>
      </c>
      <c r="D12" s="125">
        <v>21.809349999999998</v>
      </c>
      <c r="E12" s="125">
        <v>511.4</v>
      </c>
      <c r="F12" s="125">
        <v>333.15</v>
      </c>
      <c r="G12" s="125">
        <v>0.99</v>
      </c>
      <c r="H12" s="125">
        <v>1.34</v>
      </c>
      <c r="I12" s="125">
        <v>1468.7829999999999</v>
      </c>
      <c r="J12" s="125">
        <v>425.60410000000002</v>
      </c>
      <c r="K12" s="125">
        <v>0.99</v>
      </c>
      <c r="L12" s="125">
        <v>1.34</v>
      </c>
      <c r="M12" s="125">
        <v>150.31496613243985</v>
      </c>
      <c r="N12" s="125">
        <v>1.0930084266283682</v>
      </c>
      <c r="O12" s="125">
        <v>2617.30373124364</v>
      </c>
      <c r="P12" s="125">
        <v>17.412130000000001</v>
      </c>
      <c r="Q12" s="125">
        <v>18.688763534200906</v>
      </c>
      <c r="R12" s="125">
        <v>4.2811224655609079</v>
      </c>
      <c r="S12" s="125">
        <v>3.9058462789340149</v>
      </c>
      <c r="T12" s="125">
        <v>1.9042620973786166</v>
      </c>
      <c r="U12" s="125">
        <v>1.737337599424843</v>
      </c>
      <c r="X12" s="125">
        <v>4.0671880190464682</v>
      </c>
      <c r="Y12" s="125">
        <v>9.1437675643333556</v>
      </c>
      <c r="Z12" s="125">
        <v>0.931689780767752</v>
      </c>
      <c r="AA12" s="125">
        <v>1.05</v>
      </c>
      <c r="AC12" s="125">
        <v>2.8720825185764567</v>
      </c>
      <c r="AD12" s="125">
        <v>957.38299999999992</v>
      </c>
      <c r="AE12" s="125">
        <v>17.700996886515597</v>
      </c>
      <c r="AF12" s="125">
        <v>1.3023213052266149</v>
      </c>
      <c r="AG12" s="125">
        <v>0.23214033588585764</v>
      </c>
      <c r="AH12" s="125">
        <v>611.35922933723498</v>
      </c>
      <c r="AI12" s="125">
        <v>1.1954619267446911</v>
      </c>
      <c r="AJ12" s="125">
        <v>136.34010533554633</v>
      </c>
      <c r="AK12" s="125">
        <v>1.9763214007175085</v>
      </c>
      <c r="AL12" s="125">
        <v>8.7393113428934049E-2</v>
      </c>
      <c r="AM12" s="125">
        <v>4.0772594910103885</v>
      </c>
      <c r="AN12" s="125">
        <f t="shared" si="0"/>
        <v>0.36602459630596529</v>
      </c>
    </row>
    <row r="13" spans="1:40">
      <c r="A13" s="125" t="s">
        <v>44</v>
      </c>
      <c r="B13" s="125" t="s">
        <v>64</v>
      </c>
      <c r="C13" s="125">
        <v>8347.5</v>
      </c>
      <c r="D13" s="125">
        <v>21.809349999999998</v>
      </c>
      <c r="E13" s="125">
        <v>511.4</v>
      </c>
      <c r="F13" s="125">
        <v>333.15</v>
      </c>
      <c r="G13" s="125">
        <v>0.99</v>
      </c>
      <c r="H13" s="125">
        <v>1.34</v>
      </c>
      <c r="I13" s="125">
        <v>1449.02</v>
      </c>
      <c r="J13" s="125">
        <v>424.32240000000002</v>
      </c>
      <c r="K13" s="125">
        <v>0.99</v>
      </c>
      <c r="L13" s="125">
        <v>1.34</v>
      </c>
      <c r="M13" s="125">
        <v>148.15226621644874</v>
      </c>
      <c r="N13" s="125">
        <v>1.092426870564541</v>
      </c>
      <c r="O13" s="125">
        <v>2658.6813086139023</v>
      </c>
      <c r="P13" s="125">
        <v>17.945599999999999</v>
      </c>
      <c r="Q13" s="125">
        <v>19.261346824274558</v>
      </c>
      <c r="R13" s="125">
        <v>4.412286797650248</v>
      </c>
      <c r="S13" s="125">
        <v>4.1488459701498277</v>
      </c>
      <c r="T13" s="125">
        <v>1.9833813207438431</v>
      </c>
      <c r="U13" s="125">
        <v>1.8649611816305169</v>
      </c>
      <c r="X13" s="125">
        <v>4.0671880190464682</v>
      </c>
      <c r="Y13" s="125">
        <v>9.0479827617160975</v>
      </c>
      <c r="Z13" s="125">
        <v>0.931689780767752</v>
      </c>
      <c r="AA13" s="125">
        <v>1.05</v>
      </c>
      <c r="AC13" s="125">
        <v>2.8334376222135318</v>
      </c>
      <c r="AD13" s="125">
        <v>937.62</v>
      </c>
      <c r="AE13" s="125">
        <v>18.243317143086699</v>
      </c>
      <c r="AF13" s="125">
        <v>1.302530936472472</v>
      </c>
      <c r="AG13" s="125">
        <v>0.232263916350263</v>
      </c>
      <c r="AH13" s="125">
        <v>602.56312215012315</v>
      </c>
      <c r="AI13" s="125">
        <v>1.1782618735825641</v>
      </c>
      <c r="AJ13" s="125">
        <v>134.37847275868367</v>
      </c>
      <c r="AK13" s="125">
        <v>2.0368716135657219</v>
      </c>
      <c r="AL13" s="125">
        <v>9.007064938926361E-2</v>
      </c>
      <c r="AM13" s="125">
        <v>4.2021779025240455</v>
      </c>
      <c r="AN13" s="125">
        <f t="shared" si="0"/>
        <v>0.38160537498700164</v>
      </c>
    </row>
    <row r="14" spans="1:40">
      <c r="A14" s="125" t="s">
        <v>44</v>
      </c>
      <c r="B14" s="125" t="s">
        <v>64</v>
      </c>
      <c r="C14" s="125">
        <v>8347.5</v>
      </c>
      <c r="D14" s="125">
        <v>21.809349999999998</v>
      </c>
      <c r="E14" s="125">
        <v>511.4</v>
      </c>
      <c r="F14" s="125">
        <v>333.15</v>
      </c>
      <c r="G14" s="125">
        <v>0.99</v>
      </c>
      <c r="H14" s="125">
        <v>1.34</v>
      </c>
      <c r="I14" s="125">
        <v>1415.34</v>
      </c>
      <c r="J14" s="125">
        <v>422.36</v>
      </c>
      <c r="K14" s="125">
        <v>0.99</v>
      </c>
      <c r="L14" s="125">
        <v>1.34</v>
      </c>
      <c r="M14" s="125">
        <v>144.45827547837956</v>
      </c>
      <c r="N14" s="125">
        <v>1.0886201000667222</v>
      </c>
      <c r="O14" s="125">
        <v>2699.2621052064683</v>
      </c>
      <c r="P14" s="125">
        <v>18.685410000000001</v>
      </c>
      <c r="Q14" s="125">
        <v>20.055398680666464</v>
      </c>
      <c r="R14" s="125">
        <v>4.5941839699804934</v>
      </c>
      <c r="S14" s="125">
        <v>4.4979705577147646</v>
      </c>
      <c r="T14" s="125">
        <v>2.1045114292157727</v>
      </c>
      <c r="U14" s="125">
        <v>2.0604378294034573</v>
      </c>
      <c r="X14" s="125">
        <v>4.0671880190464682</v>
      </c>
      <c r="Y14" s="125">
        <v>8.8787400916909966</v>
      </c>
      <c r="Z14" s="125">
        <v>0.931689780767752</v>
      </c>
      <c r="AA14" s="125">
        <v>1.05</v>
      </c>
      <c r="AC14" s="125">
        <v>2.7675791943684005</v>
      </c>
      <c r="AD14" s="125">
        <v>903.93999999999994</v>
      </c>
      <c r="AE14" s="125">
        <v>18.995400576108</v>
      </c>
      <c r="AF14" s="125">
        <v>1.3039103607781464</v>
      </c>
      <c r="AG14" s="125">
        <v>0.23307611467768308</v>
      </c>
      <c r="AH14" s="125">
        <v>587.53896727777953</v>
      </c>
      <c r="AI14" s="125">
        <v>1.1488833931908087</v>
      </c>
      <c r="AJ14" s="125">
        <v>131.02791426610389</v>
      </c>
      <c r="AK14" s="125">
        <v>2.1208419454817382</v>
      </c>
      <c r="AL14" s="125">
        <v>9.37838251607436E-2</v>
      </c>
      <c r="AM14" s="125">
        <v>4.3754133047433266</v>
      </c>
      <c r="AN14" s="125">
        <f t="shared" si="0"/>
        <v>0.40546308585690066</v>
      </c>
    </row>
    <row r="15" spans="1:40">
      <c r="A15" s="125" t="s">
        <v>44</v>
      </c>
      <c r="B15" s="125" t="s">
        <v>64</v>
      </c>
      <c r="C15" s="125">
        <v>8347.5</v>
      </c>
      <c r="D15" s="125">
        <v>21.809349999999998</v>
      </c>
      <c r="E15" s="125">
        <v>511.4</v>
      </c>
      <c r="F15" s="125">
        <v>333.15</v>
      </c>
      <c r="G15" s="125">
        <v>0.99</v>
      </c>
      <c r="H15" s="125">
        <v>1.34</v>
      </c>
      <c r="I15" s="125">
        <v>1399.1189999999999</v>
      </c>
      <c r="J15" s="125">
        <v>421.46010000000001</v>
      </c>
      <c r="K15" s="125">
        <v>0.99</v>
      </c>
      <c r="L15" s="125">
        <v>1.34</v>
      </c>
      <c r="M15" s="125">
        <v>142.6642828047336</v>
      </c>
      <c r="N15" s="125">
        <v>1.0860563096591171</v>
      </c>
      <c r="O15" s="125">
        <v>2711.9766839765834</v>
      </c>
      <c r="P15" s="125">
        <v>19.009499999999999</v>
      </c>
      <c r="Q15" s="125">
        <v>20.403250515783657</v>
      </c>
      <c r="R15" s="125">
        <v>4.6738680166688438</v>
      </c>
      <c r="S15" s="125">
        <v>4.6553542343087173</v>
      </c>
      <c r="T15" s="125">
        <v>2.1612209162893903</v>
      </c>
      <c r="U15" s="125">
        <v>2.1526600468909316</v>
      </c>
      <c r="X15" s="125">
        <v>4.0671880190464682</v>
      </c>
      <c r="Y15" s="125">
        <v>8.7957227587069138</v>
      </c>
      <c r="Z15" s="125">
        <v>0.931689780767752</v>
      </c>
      <c r="AA15" s="125">
        <v>1.05</v>
      </c>
      <c r="AC15" s="125">
        <v>2.7358603832616346</v>
      </c>
      <c r="AD15" s="125">
        <v>887.71899999999994</v>
      </c>
      <c r="AE15" s="125">
        <v>19.324867222690056</v>
      </c>
      <c r="AF15" s="125">
        <v>1.3048464884917337</v>
      </c>
      <c r="AG15" s="125">
        <v>0.23362632400084427</v>
      </c>
      <c r="AH15" s="125">
        <v>580.24246176926965</v>
      </c>
      <c r="AI15" s="125">
        <v>1.1346156859000189</v>
      </c>
      <c r="AJ15" s="125">
        <v>129.40071002696925</v>
      </c>
      <c r="AK15" s="125">
        <v>2.1576269914674122</v>
      </c>
      <c r="AL15" s="125">
        <v>9.5410463264822942E-2</v>
      </c>
      <c r="AM15" s="125">
        <v>4.451302873017946</v>
      </c>
      <c r="AN15" s="125">
        <f t="shared" si="0"/>
        <v>0.41666244896892229</v>
      </c>
    </row>
    <row r="16" spans="1:40">
      <c r="A16" s="125" t="s">
        <v>44</v>
      </c>
      <c r="B16" s="125" t="s">
        <v>64</v>
      </c>
      <c r="C16" s="125">
        <v>8347.5</v>
      </c>
      <c r="D16" s="125">
        <v>21.809349999999998</v>
      </c>
      <c r="E16" s="125">
        <v>511.4</v>
      </c>
      <c r="F16" s="125">
        <v>333.15</v>
      </c>
      <c r="G16" s="125">
        <v>0.99</v>
      </c>
      <c r="H16" s="125">
        <v>1.34</v>
      </c>
      <c r="I16" s="125">
        <v>1365.1510000000001</v>
      </c>
      <c r="J16" s="125">
        <v>419.6635</v>
      </c>
      <c r="K16" s="125">
        <v>0.99</v>
      </c>
      <c r="L16" s="125">
        <v>1.34</v>
      </c>
      <c r="M16" s="125">
        <v>138.87190426584624</v>
      </c>
      <c r="N16" s="125">
        <v>1.0791404473250876</v>
      </c>
      <c r="O16" s="125">
        <v>2726.0443709862202</v>
      </c>
      <c r="P16" s="125">
        <v>19.629919999999998</v>
      </c>
      <c r="Q16" s="125">
        <v>21.069158860821798</v>
      </c>
      <c r="R16" s="125">
        <v>4.8264107555573821</v>
      </c>
      <c r="S16" s="125">
        <v>4.9641901022120614</v>
      </c>
      <c r="T16" s="125">
        <v>2.277538321054815</v>
      </c>
      <c r="U16" s="125">
        <v>2.3425551125690065</v>
      </c>
      <c r="X16" s="125">
        <v>4.0671880190464682</v>
      </c>
      <c r="Y16" s="125">
        <v>8.6189197426582194</v>
      </c>
      <c r="Z16" s="125">
        <v>0.931689780767752</v>
      </c>
      <c r="AA16" s="125">
        <v>1.05</v>
      </c>
      <c r="AC16" s="125">
        <v>2.6694387954634338</v>
      </c>
      <c r="AD16" s="125">
        <v>853.75100000000009</v>
      </c>
      <c r="AE16" s="125">
        <v>19.955579978012462</v>
      </c>
      <c r="AF16" s="125">
        <v>1.3074007083774828</v>
      </c>
      <c r="AG16" s="125">
        <v>0.23512355960015871</v>
      </c>
      <c r="AH16" s="125">
        <v>564.81814521221804</v>
      </c>
      <c r="AI16" s="125">
        <v>1.104454722745831</v>
      </c>
      <c r="AJ16" s="125">
        <v>125.96091089872672</v>
      </c>
      <c r="AK16" s="125">
        <v>2.2280462522605005</v>
      </c>
      <c r="AL16" s="125">
        <v>9.8524409429570109E-2</v>
      </c>
      <c r="AM16" s="125">
        <v>4.5965816719594113</v>
      </c>
      <c r="AN16" s="125">
        <f t="shared" si="0"/>
        <v>0.43971099392112895</v>
      </c>
    </row>
    <row r="17" spans="1:40">
      <c r="A17" s="125" t="s">
        <v>44</v>
      </c>
      <c r="B17" s="125" t="s">
        <v>64</v>
      </c>
      <c r="C17" s="125">
        <v>8347.5</v>
      </c>
      <c r="D17" s="125">
        <v>21.809349999999998</v>
      </c>
      <c r="E17" s="125">
        <v>511.4</v>
      </c>
      <c r="F17" s="125">
        <v>333.15</v>
      </c>
      <c r="G17" s="125">
        <v>0.99</v>
      </c>
      <c r="H17" s="125">
        <v>1.34</v>
      </c>
      <c r="I17" s="125">
        <v>1347.425</v>
      </c>
      <c r="J17" s="125">
        <v>418.78250000000003</v>
      </c>
      <c r="K17" s="125">
        <v>0.99</v>
      </c>
      <c r="L17" s="125">
        <v>1.34</v>
      </c>
      <c r="M17" s="125">
        <v>136.87396960197495</v>
      </c>
      <c r="N17" s="125">
        <v>1.0745576038859754</v>
      </c>
      <c r="O17" s="125">
        <v>2727.7846087725911</v>
      </c>
      <c r="P17" s="125">
        <v>19.929169999999999</v>
      </c>
      <c r="Q17" s="125">
        <v>21.390349461145227</v>
      </c>
      <c r="R17" s="125">
        <v>4.899987388503444</v>
      </c>
      <c r="S17" s="125">
        <v>5.1166978111081427</v>
      </c>
      <c r="T17" s="125">
        <v>2.3377592956475644</v>
      </c>
      <c r="U17" s="125">
        <v>2.4411507464289466</v>
      </c>
      <c r="X17" s="125">
        <v>4.0671880190464682</v>
      </c>
      <c r="Y17" s="125">
        <v>8.5249024726814646</v>
      </c>
      <c r="Z17" s="125">
        <v>0.931689780767752</v>
      </c>
      <c r="AA17" s="125">
        <v>1.05</v>
      </c>
      <c r="AC17" s="125">
        <v>2.6347770825185766</v>
      </c>
      <c r="AD17" s="125">
        <v>836.02499999999998</v>
      </c>
      <c r="AE17" s="125">
        <v>20.259794529494091</v>
      </c>
      <c r="AF17" s="125">
        <v>1.3091169903572191</v>
      </c>
      <c r="AG17" s="125">
        <v>0.23612632991102669</v>
      </c>
      <c r="AH17" s="125">
        <v>556.69216928448304</v>
      </c>
      <c r="AI17" s="125">
        <v>1.0885650553079451</v>
      </c>
      <c r="AJ17" s="125">
        <v>124.14872526256231</v>
      </c>
      <c r="AK17" s="125">
        <v>2.262011894554965</v>
      </c>
      <c r="AL17" s="125">
        <v>0.10002637324408382</v>
      </c>
      <c r="AM17" s="125">
        <v>4.6666546557175659</v>
      </c>
      <c r="AN17" s="125">
        <f t="shared" si="0"/>
        <v>0.45167851217599464</v>
      </c>
    </row>
    <row r="18" spans="1:40">
      <c r="A18" s="125" t="s">
        <v>44</v>
      </c>
      <c r="B18" s="125" t="s">
        <v>64</v>
      </c>
      <c r="C18" s="125">
        <v>8347.5</v>
      </c>
      <c r="D18" s="125">
        <v>21.809349999999998</v>
      </c>
      <c r="E18" s="125">
        <v>511.4</v>
      </c>
      <c r="F18" s="125">
        <v>333.15</v>
      </c>
      <c r="G18" s="125">
        <v>0.99</v>
      </c>
      <c r="H18" s="125">
        <v>1.34</v>
      </c>
      <c r="I18" s="125">
        <v>1285.8589999999999</v>
      </c>
      <c r="J18" s="125">
        <v>415.88780000000003</v>
      </c>
      <c r="K18" s="125">
        <v>0.99</v>
      </c>
      <c r="L18" s="125">
        <v>1.34</v>
      </c>
      <c r="M18" s="125">
        <v>129.79854777266789</v>
      </c>
      <c r="N18" s="125">
        <v>1.0546620688465658</v>
      </c>
      <c r="O18" s="125">
        <v>2700.0979464475472</v>
      </c>
      <c r="P18" s="125">
        <v>20.802219999999998</v>
      </c>
      <c r="Q18" s="125">
        <v>22.327410291930093</v>
      </c>
      <c r="R18" s="125">
        <v>5.1146442954159212</v>
      </c>
      <c r="S18" s="125">
        <v>5.5748182759668818</v>
      </c>
      <c r="T18" s="125">
        <v>2.5393301740032928</v>
      </c>
      <c r="U18" s="125">
        <v>2.7677983932207222</v>
      </c>
      <c r="X18" s="125">
        <v>4.0671880190464682</v>
      </c>
      <c r="Y18" s="125">
        <v>8.1920107172219279</v>
      </c>
      <c r="Z18" s="125">
        <v>0.931689780767752</v>
      </c>
      <c r="AA18" s="125">
        <v>1.05</v>
      </c>
      <c r="AC18" s="125">
        <v>2.5143899100508409</v>
      </c>
      <c r="AD18" s="125">
        <v>774.45899999999995</v>
      </c>
      <c r="AE18" s="125">
        <v>21.147328411435726</v>
      </c>
      <c r="AF18" s="125">
        <v>1.3167956168808874</v>
      </c>
      <c r="AG18" s="125">
        <v>0.24058070426395078</v>
      </c>
      <c r="AH18" s="125">
        <v>527.91509839062542</v>
      </c>
      <c r="AI18" s="125">
        <v>1.0322938959535108</v>
      </c>
      <c r="AJ18" s="125">
        <v>117.73110909085521</v>
      </c>
      <c r="AK18" s="125">
        <v>2.3611053081061169</v>
      </c>
      <c r="AL18" s="125">
        <v>0.10440829307118889</v>
      </c>
      <c r="AM18" s="125">
        <v>4.8710898051580198</v>
      </c>
      <c r="AN18" s="125">
        <f t="shared" si="0"/>
        <v>0.49217859286087995</v>
      </c>
    </row>
    <row r="19" spans="1:40">
      <c r="A19" s="125" t="s">
        <v>44</v>
      </c>
      <c r="B19" s="125" t="s">
        <v>64</v>
      </c>
      <c r="C19" s="125">
        <v>8347.5</v>
      </c>
      <c r="D19" s="125">
        <v>21.809349999999998</v>
      </c>
      <c r="E19" s="125">
        <v>511.4</v>
      </c>
      <c r="F19" s="125">
        <v>333.15</v>
      </c>
      <c r="G19" s="125">
        <v>0.99</v>
      </c>
      <c r="H19" s="125">
        <v>1.34</v>
      </c>
      <c r="I19" s="125">
        <v>1256.521</v>
      </c>
      <c r="J19" s="125">
        <v>414.60660000000001</v>
      </c>
      <c r="K19" s="125">
        <v>0.99</v>
      </c>
      <c r="L19" s="125">
        <v>1.34</v>
      </c>
      <c r="M19" s="125">
        <v>126.34721352071071</v>
      </c>
      <c r="N19" s="125">
        <v>1.0427659748897957</v>
      </c>
      <c r="O19" s="125">
        <v>2672.0515181984802</v>
      </c>
      <c r="P19" s="125">
        <v>21.148479999999999</v>
      </c>
      <c r="Q19" s="125">
        <v>22.699057601096314</v>
      </c>
      <c r="R19" s="125">
        <v>5.1997792826303009</v>
      </c>
      <c r="S19" s="125">
        <v>5.7619523539071515</v>
      </c>
      <c r="T19" s="125">
        <v>2.6337362140612322</v>
      </c>
      <c r="U19" s="125">
        <v>2.9184820649741385</v>
      </c>
      <c r="X19" s="125">
        <v>4.0671880190464682</v>
      </c>
      <c r="Y19" s="125">
        <v>8.0298398477002202</v>
      </c>
      <c r="Z19" s="125">
        <v>0.931689780767752</v>
      </c>
      <c r="AA19" s="125">
        <v>1.05</v>
      </c>
      <c r="AC19" s="125">
        <v>2.4570219006648415</v>
      </c>
      <c r="AD19" s="125">
        <v>745.12099999999998</v>
      </c>
      <c r="AE19" s="125">
        <v>21.499332857871913</v>
      </c>
      <c r="AF19" s="125">
        <v>1.3215718716516525</v>
      </c>
      <c r="AG19" s="125">
        <v>0.24332529962957189</v>
      </c>
      <c r="AH19" s="125">
        <v>513.87787307134056</v>
      </c>
      <c r="AI19" s="125">
        <v>1.0048452738978111</v>
      </c>
      <c r="AJ19" s="125">
        <v>114.60064718431809</v>
      </c>
      <c r="AK19" s="125">
        <v>2.4004067059369651</v>
      </c>
      <c r="AL19" s="125">
        <v>0.10614620448443371</v>
      </c>
      <c r="AM19" s="125">
        <v>4.9521707453621913</v>
      </c>
      <c r="AN19" s="125">
        <f t="shared" si="0"/>
        <v>0.51143305156908958</v>
      </c>
    </row>
    <row r="20" spans="1:40">
      <c r="A20" s="125" t="s">
        <v>44</v>
      </c>
      <c r="B20" s="125" t="s">
        <v>64</v>
      </c>
      <c r="C20" s="125">
        <v>8347.5</v>
      </c>
      <c r="D20" s="125">
        <v>21.809349999999998</v>
      </c>
      <c r="E20" s="125">
        <v>511.4</v>
      </c>
      <c r="F20" s="125">
        <v>333.15</v>
      </c>
      <c r="G20" s="125">
        <v>0.99</v>
      </c>
      <c r="H20" s="125">
        <v>1.34</v>
      </c>
      <c r="I20" s="125">
        <v>1192.1950000000002</v>
      </c>
      <c r="J20" s="125">
        <v>412.07560000000001</v>
      </c>
      <c r="K20" s="125">
        <v>0.99</v>
      </c>
      <c r="L20" s="125">
        <v>1.34</v>
      </c>
      <c r="M20" s="125">
        <v>118.58453120116346</v>
      </c>
      <c r="N20" s="125">
        <v>1.0100842772995831</v>
      </c>
      <c r="O20" s="125">
        <v>2583.4754816766749</v>
      </c>
      <c r="P20" s="125">
        <v>21.78594</v>
      </c>
      <c r="Q20" s="125">
        <v>23.383255295606503</v>
      </c>
      <c r="R20" s="125">
        <v>5.3565116483372224</v>
      </c>
      <c r="S20" s="125">
        <v>6.1145422669610738</v>
      </c>
      <c r="T20" s="125">
        <v>2.8420555568716495</v>
      </c>
      <c r="U20" s="125">
        <v>3.2442511037827688</v>
      </c>
      <c r="X20" s="125">
        <v>4.0671880190464682</v>
      </c>
      <c r="Y20" s="125">
        <v>7.6655573981743519</v>
      </c>
      <c r="Z20" s="125">
        <v>0.931689780767752</v>
      </c>
      <c r="AA20" s="125">
        <v>1.05</v>
      </c>
      <c r="AC20" s="125">
        <v>2.3312377786468521</v>
      </c>
      <c r="AD20" s="125">
        <v>680.79500000000019</v>
      </c>
      <c r="AE20" s="125">
        <v>22.147368306451625</v>
      </c>
      <c r="AF20" s="125">
        <v>1.3354668592826724</v>
      </c>
      <c r="AG20" s="125">
        <v>0.2511981910677018</v>
      </c>
      <c r="AH20" s="125">
        <v>482.30558454561412</v>
      </c>
      <c r="AI20" s="125">
        <v>0.9431082998545447</v>
      </c>
      <c r="AJ20" s="125">
        <v>107.55966548858363</v>
      </c>
      <c r="AK20" s="125">
        <v>2.4727600504216083</v>
      </c>
      <c r="AL20" s="125">
        <v>0.10934567600724042</v>
      </c>
      <c r="AM20" s="125">
        <v>5.1014396650830687</v>
      </c>
      <c r="AN20" s="125">
        <f t="shared" si="0"/>
        <v>0.55473648952208032</v>
      </c>
    </row>
    <row r="21" spans="1:40">
      <c r="A21" s="125" t="s">
        <v>44</v>
      </c>
      <c r="B21" s="125" t="s">
        <v>64</v>
      </c>
      <c r="C21" s="125">
        <v>8347.5</v>
      </c>
      <c r="D21" s="125">
        <v>21.809349999999998</v>
      </c>
      <c r="E21" s="125">
        <v>511.4</v>
      </c>
      <c r="F21" s="125">
        <v>333.15</v>
      </c>
      <c r="G21" s="125">
        <v>0.99</v>
      </c>
      <c r="H21" s="125">
        <v>1.34</v>
      </c>
      <c r="I21" s="125">
        <v>1161.18</v>
      </c>
      <c r="J21" s="125">
        <v>410.9051</v>
      </c>
      <c r="K21" s="125">
        <v>0.99</v>
      </c>
      <c r="L21" s="125">
        <v>1.34</v>
      </c>
      <c r="M21" s="125">
        <v>114.72242336713055</v>
      </c>
      <c r="N21" s="125">
        <v>0.99189771601504184</v>
      </c>
      <c r="O21" s="125">
        <v>2531.5636553031982</v>
      </c>
      <c r="P21" s="125">
        <v>22.066859999999998</v>
      </c>
      <c r="Q21" s="125">
        <v>23.684771965423906</v>
      </c>
      <c r="R21" s="125">
        <v>5.4255814820121007</v>
      </c>
      <c r="S21" s="125">
        <v>6.2732475313812097</v>
      </c>
      <c r="T21" s="125">
        <v>2.9471970976803297</v>
      </c>
      <c r="U21" s="125">
        <v>3.4076526136071323</v>
      </c>
      <c r="X21" s="125">
        <v>4.0671880190464682</v>
      </c>
      <c r="Y21" s="125">
        <v>7.4874055818554899</v>
      </c>
      <c r="Z21" s="125">
        <v>0.931689780767752</v>
      </c>
      <c r="AA21" s="125">
        <v>1.05</v>
      </c>
      <c r="AC21" s="125">
        <v>2.2705905357841223</v>
      </c>
      <c r="AD21" s="125">
        <v>649.78000000000009</v>
      </c>
      <c r="AE21" s="125">
        <v>22.432948763601892</v>
      </c>
      <c r="AF21" s="125">
        <v>1.3437319182458722</v>
      </c>
      <c r="AG21" s="125">
        <v>0.25580393944544016</v>
      </c>
      <c r="AH21" s="125">
        <v>466.59766583476994</v>
      </c>
      <c r="AI21" s="125">
        <v>0.91239277636834182</v>
      </c>
      <c r="AJ21" s="125">
        <v>104.05661983413201</v>
      </c>
      <c r="AK21" s="125">
        <v>2.5046451907168827</v>
      </c>
      <c r="AL21" s="125">
        <v>0.11075563983271473</v>
      </c>
      <c r="AM21" s="125">
        <v>5.1672204590591431</v>
      </c>
      <c r="AN21" s="125">
        <f t="shared" si="0"/>
        <v>0.57721451203690965</v>
      </c>
    </row>
    <row r="22" spans="1:40">
      <c r="A22" s="125" t="s">
        <v>44</v>
      </c>
      <c r="B22" s="125" t="s">
        <v>64</v>
      </c>
      <c r="C22" s="125">
        <v>8347.5</v>
      </c>
      <c r="D22" s="125">
        <v>21.809349999999998</v>
      </c>
      <c r="E22" s="125">
        <v>511.4</v>
      </c>
      <c r="F22" s="125">
        <v>333.15</v>
      </c>
      <c r="G22" s="125">
        <v>0.99</v>
      </c>
      <c r="H22" s="125">
        <v>1.34</v>
      </c>
      <c r="I22" s="125">
        <v>1085.9540000000002</v>
      </c>
      <c r="J22" s="125">
        <v>408.2133</v>
      </c>
      <c r="K22" s="125">
        <v>0.99</v>
      </c>
      <c r="L22" s="125">
        <v>1.34</v>
      </c>
      <c r="M22" s="125">
        <v>104.99480529101305</v>
      </c>
      <c r="N22" s="125">
        <v>0.94034586963058309</v>
      </c>
      <c r="O22" s="125">
        <v>2375.3373781245991</v>
      </c>
      <c r="P22" s="125">
        <v>22.623380000000001</v>
      </c>
      <c r="Q22" s="125">
        <v>24.282095249941857</v>
      </c>
      <c r="R22" s="125">
        <v>5.5624131203317075</v>
      </c>
      <c r="S22" s="125">
        <v>6.5936566065362427</v>
      </c>
      <c r="T22" s="125">
        <v>3.2096661929272985</v>
      </c>
      <c r="U22" s="125">
        <v>3.8047222023863374</v>
      </c>
      <c r="X22" s="125">
        <v>4.0671880190464682</v>
      </c>
      <c r="Y22" s="125">
        <v>7.0485149047125351</v>
      </c>
      <c r="Z22" s="125">
        <v>0.931689780767752</v>
      </c>
      <c r="AA22" s="125">
        <v>1.05</v>
      </c>
      <c r="AC22" s="125">
        <v>2.1234923738756359</v>
      </c>
      <c r="AD22" s="125">
        <v>574.5540000000002</v>
      </c>
      <c r="AE22" s="125">
        <v>22.998701419209436</v>
      </c>
      <c r="AF22" s="125">
        <v>1.3695397250528771</v>
      </c>
      <c r="AG22" s="125">
        <v>0.26982767881275543</v>
      </c>
      <c r="AH22" s="125">
        <v>427.03361414172502</v>
      </c>
      <c r="AI22" s="125">
        <v>0.83502857673391673</v>
      </c>
      <c r="AJ22" s="125">
        <v>95.233383483912064</v>
      </c>
      <c r="AK22" s="125">
        <v>2.567811637666642</v>
      </c>
      <c r="AL22" s="125">
        <v>0.11354886590473871</v>
      </c>
      <c r="AM22" s="125">
        <v>5.2975363050778164</v>
      </c>
      <c r="AN22" s="125">
        <f t="shared" si="0"/>
        <v>0.63594926396818874</v>
      </c>
    </row>
    <row r="23" spans="1:40">
      <c r="A23" s="125" t="s">
        <v>44</v>
      </c>
      <c r="B23" s="125" t="s">
        <v>64</v>
      </c>
      <c r="C23" s="125">
        <v>8347.5</v>
      </c>
      <c r="D23" s="125">
        <v>21.809349999999998</v>
      </c>
      <c r="E23" s="125">
        <v>511.4</v>
      </c>
      <c r="F23" s="125">
        <v>333.15</v>
      </c>
      <c r="G23" s="125">
        <v>0.99</v>
      </c>
      <c r="H23" s="125">
        <v>1.34</v>
      </c>
      <c r="I23" s="125">
        <v>1050.694</v>
      </c>
      <c r="J23" s="125">
        <v>407.08429999999998</v>
      </c>
      <c r="K23" s="125">
        <v>0.99</v>
      </c>
      <c r="L23" s="125">
        <v>1.34</v>
      </c>
      <c r="M23" s="125">
        <v>100.24911710808315</v>
      </c>
      <c r="N23" s="125">
        <v>0.91155326978069651</v>
      </c>
      <c r="O23" s="125">
        <v>2287.5445036425062</v>
      </c>
      <c r="P23" s="125">
        <v>22.8186</v>
      </c>
      <c r="Q23" s="125">
        <v>24.491628513083512</v>
      </c>
      <c r="R23" s="125">
        <v>5.6104118848554503</v>
      </c>
      <c r="S23" s="125">
        <v>6.7079425715142165</v>
      </c>
      <c r="T23" s="125">
        <v>3.3367506445893946</v>
      </c>
      <c r="U23" s="125">
        <v>3.9894988387194652</v>
      </c>
      <c r="X23" s="125">
        <v>4.0671880190464682</v>
      </c>
      <c r="Y23" s="125">
        <v>6.8385691442064447</v>
      </c>
      <c r="Z23" s="125">
        <v>0.931689780767752</v>
      </c>
      <c r="AA23" s="125">
        <v>1.05</v>
      </c>
      <c r="AC23" s="125">
        <v>2.0545443879546346</v>
      </c>
      <c r="AD23" s="125">
        <v>539.29399999999998</v>
      </c>
      <c r="AE23" s="125">
        <v>23.197160115083264</v>
      </c>
      <c r="AF23" s="125">
        <v>1.3857143294610068</v>
      </c>
      <c r="AG23" s="125">
        <v>0.27835053824624578</v>
      </c>
      <c r="AH23" s="125">
        <v>407.73200802198215</v>
      </c>
      <c r="AI23" s="125">
        <v>0.79728589757915946</v>
      </c>
      <c r="AJ23" s="125">
        <v>90.928904406424621</v>
      </c>
      <c r="AK23" s="125">
        <v>2.5899696082221153</v>
      </c>
      <c r="AL23" s="125">
        <v>0.11452869339302396</v>
      </c>
      <c r="AM23" s="125">
        <v>5.3432494141480475</v>
      </c>
      <c r="AN23" s="125">
        <f t="shared" si="0"/>
        <v>0.66606909677524195</v>
      </c>
    </row>
    <row r="24" spans="1:40">
      <c r="A24" s="125" t="s">
        <v>44</v>
      </c>
      <c r="B24" s="125" t="s">
        <v>64</v>
      </c>
      <c r="C24" s="125">
        <v>8347.5</v>
      </c>
      <c r="D24" s="125">
        <v>21.809349999999998</v>
      </c>
      <c r="E24" s="125">
        <v>511.4</v>
      </c>
      <c r="F24" s="125">
        <v>333.15</v>
      </c>
      <c r="G24" s="125">
        <v>0.99</v>
      </c>
      <c r="H24" s="125">
        <v>1.34</v>
      </c>
      <c r="I24" s="125">
        <v>982.59960000000001</v>
      </c>
      <c r="J24" s="125">
        <v>405.13010000000003</v>
      </c>
      <c r="K24" s="125">
        <v>0.99</v>
      </c>
      <c r="L24" s="125">
        <v>1.34</v>
      </c>
      <c r="M24" s="125">
        <v>90.694768475058126</v>
      </c>
      <c r="N24" s="125">
        <v>0.84706600547144839</v>
      </c>
      <c r="O24" s="125">
        <v>2095.5996690184861</v>
      </c>
      <c r="P24" s="125">
        <v>23.106069999999999</v>
      </c>
      <c r="Q24" s="125">
        <v>24.80017541993389</v>
      </c>
      <c r="R24" s="125">
        <v>5.6810921678061739</v>
      </c>
      <c r="S24" s="125">
        <v>6.8780212678276307</v>
      </c>
      <c r="T24" s="125">
        <v>3.5955941855002131</v>
      </c>
      <c r="U24" s="125">
        <v>4.3531371341750047</v>
      </c>
      <c r="X24" s="125">
        <v>4.0671880190464682</v>
      </c>
      <c r="Y24" s="125">
        <v>6.426217422749982</v>
      </c>
      <c r="Z24" s="125">
        <v>0.931689780767752</v>
      </c>
      <c r="AA24" s="125">
        <v>1.05</v>
      </c>
      <c r="AC24" s="125">
        <v>1.9213914743840439</v>
      </c>
      <c r="AD24" s="125">
        <v>471.19960000000003</v>
      </c>
      <c r="AE24" s="125">
        <v>23.489399236601802</v>
      </c>
      <c r="AF24" s="125">
        <v>1.4276361376697115</v>
      </c>
      <c r="AG24" s="125">
        <v>0.29954140721579758</v>
      </c>
      <c r="AH24" s="125">
        <v>368.8726757319497</v>
      </c>
      <c r="AI24" s="125">
        <v>0.72129971789587355</v>
      </c>
      <c r="AJ24" s="125">
        <v>82.262828548805544</v>
      </c>
      <c r="AK24" s="125">
        <v>2.6225981903119719</v>
      </c>
      <c r="AL24" s="125">
        <v>0.11597153228277585</v>
      </c>
      <c r="AM24" s="125">
        <v>5.4105639693392131</v>
      </c>
      <c r="AN24" s="125">
        <f t="shared" si="0"/>
        <v>0.73205910458894352</v>
      </c>
    </row>
    <row r="25" spans="1:40">
      <c r="A25" s="125" t="s">
        <v>44</v>
      </c>
      <c r="B25" s="125" t="s">
        <v>64</v>
      </c>
      <c r="C25" s="125">
        <v>8347.5</v>
      </c>
      <c r="D25" s="125">
        <v>21.809349999999998</v>
      </c>
      <c r="E25" s="125">
        <v>511.4</v>
      </c>
      <c r="F25" s="125">
        <v>333.15</v>
      </c>
      <c r="G25" s="125">
        <v>0.99</v>
      </c>
      <c r="H25" s="125">
        <v>1.34</v>
      </c>
      <c r="I25" s="125">
        <v>883.83519999999999</v>
      </c>
      <c r="J25" s="125">
        <v>402.65980000000002</v>
      </c>
      <c r="K25" s="125">
        <v>0.99</v>
      </c>
      <c r="L25" s="125">
        <v>1.34</v>
      </c>
      <c r="M25" s="125">
        <v>75.743743442907544</v>
      </c>
      <c r="N25" s="125">
        <v>0.73256841247363691</v>
      </c>
      <c r="O25" s="125">
        <v>1769.1110160365733</v>
      </c>
      <c r="P25" s="125">
        <v>23.356529999999999</v>
      </c>
      <c r="Q25" s="125">
        <v>25.068998804251375</v>
      </c>
      <c r="R25" s="125">
        <v>5.7426727976730767</v>
      </c>
      <c r="S25" s="125">
        <v>7.0279390780451783</v>
      </c>
      <c r="T25" s="125">
        <v>4.0160763223477929</v>
      </c>
      <c r="U25" s="125">
        <v>4.9149134419910956</v>
      </c>
      <c r="X25" s="125">
        <v>4.0671880190464682</v>
      </c>
      <c r="Y25" s="125">
        <v>5.8157584979226202</v>
      </c>
      <c r="Z25" s="125">
        <v>0.931689780767752</v>
      </c>
      <c r="AA25" s="125">
        <v>1.05</v>
      </c>
      <c r="AC25" s="125">
        <v>1.7282659366445052</v>
      </c>
      <c r="AD25" s="125">
        <v>372.43520000000001</v>
      </c>
      <c r="AE25" s="125">
        <v>23.744014362964673</v>
      </c>
      <c r="AF25" s="125">
        <v>1.529890769970597</v>
      </c>
      <c r="AG25" s="125">
        <v>0.34635856387366859</v>
      </c>
      <c r="AH25" s="125">
        <v>308.06404584872308</v>
      </c>
      <c r="AI25" s="125">
        <v>0.6023935194538973</v>
      </c>
      <c r="AJ25" s="125">
        <v>68.701808111480759</v>
      </c>
      <c r="AK25" s="125">
        <v>2.6510260425060292</v>
      </c>
      <c r="AL25" s="125">
        <v>0.11722861451162499</v>
      </c>
      <c r="AM25" s="125">
        <v>5.469212188260073</v>
      </c>
      <c r="AN25" s="125">
        <f t="shared" si="0"/>
        <v>0.85924340424824475</v>
      </c>
    </row>
    <row r="26" spans="1:40">
      <c r="A26" s="125" t="s">
        <v>44</v>
      </c>
      <c r="B26" s="125" t="s">
        <v>64</v>
      </c>
      <c r="C26" s="125">
        <v>7950</v>
      </c>
      <c r="D26" s="125">
        <v>21.809349999999998</v>
      </c>
      <c r="E26" s="125">
        <v>511.4</v>
      </c>
      <c r="F26" s="125">
        <v>333.15</v>
      </c>
      <c r="G26" s="125">
        <v>0.99</v>
      </c>
      <c r="H26" s="125">
        <v>1.34</v>
      </c>
      <c r="I26" s="125">
        <v>1408.3510000000001</v>
      </c>
      <c r="J26" s="125">
        <v>423.95080000000002</v>
      </c>
      <c r="K26" s="125">
        <v>0.99</v>
      </c>
      <c r="L26" s="125">
        <v>1.34</v>
      </c>
      <c r="M26" s="125">
        <v>144.0370449057701</v>
      </c>
      <c r="N26" s="125">
        <v>1.0664291065411973</v>
      </c>
      <c r="O26" s="125">
        <v>1895.4727768828704</v>
      </c>
      <c r="P26" s="125">
        <v>13.15962</v>
      </c>
      <c r="Q26" s="125">
        <v>14.124465322734263</v>
      </c>
      <c r="R26" s="125">
        <v>3.2355573281525372</v>
      </c>
      <c r="S26" s="125">
        <v>2.2309921508286106</v>
      </c>
      <c r="T26" s="125">
        <v>1.4951148595621802</v>
      </c>
      <c r="U26" s="125">
        <v>1.0309165247197225</v>
      </c>
      <c r="X26" s="125">
        <v>4.0671880190464682</v>
      </c>
      <c r="Y26" s="125">
        <v>8.801745174182523</v>
      </c>
      <c r="Z26" s="125">
        <v>0.931689780767752</v>
      </c>
      <c r="AA26" s="125">
        <v>1</v>
      </c>
      <c r="AC26" s="125">
        <v>2.7539127884239347</v>
      </c>
      <c r="AD26" s="125">
        <v>896.95100000000014</v>
      </c>
      <c r="AE26" s="125">
        <v>13.377937831140033</v>
      </c>
      <c r="AF26" s="125">
        <v>1.3122087382971577</v>
      </c>
      <c r="AG26" s="125">
        <v>0.23792612347812006</v>
      </c>
      <c r="AH26" s="125">
        <v>585.82574333960633</v>
      </c>
      <c r="AI26" s="125">
        <v>1.1455333268275447</v>
      </c>
      <c r="AJ26" s="125">
        <v>144.0370449057701</v>
      </c>
      <c r="AK26" s="125">
        <v>1.4936506120336879</v>
      </c>
      <c r="AL26" s="125">
        <v>6.6049366926485678E-2</v>
      </c>
      <c r="AM26" s="125">
        <v>3.2355573281525372</v>
      </c>
      <c r="AN26" s="125">
        <f t="shared" si="0"/>
        <v>0.28678867032291278</v>
      </c>
    </row>
    <row r="27" spans="1:40">
      <c r="A27" s="125" t="s">
        <v>44</v>
      </c>
      <c r="B27" s="125" t="s">
        <v>64</v>
      </c>
      <c r="C27" s="125">
        <v>7950</v>
      </c>
      <c r="D27" s="125">
        <v>21.809349999999998</v>
      </c>
      <c r="E27" s="125">
        <v>511.4</v>
      </c>
      <c r="F27" s="125">
        <v>333.15</v>
      </c>
      <c r="G27" s="125">
        <v>0.99</v>
      </c>
      <c r="H27" s="125">
        <v>1.34</v>
      </c>
      <c r="I27" s="125">
        <v>1400.8910000000001</v>
      </c>
      <c r="J27" s="125">
        <v>422.65730000000002</v>
      </c>
      <c r="K27" s="125">
        <v>0.99</v>
      </c>
      <c r="L27" s="125">
        <v>1.34</v>
      </c>
      <c r="M27" s="125">
        <v>143.05442637974573</v>
      </c>
      <c r="N27" s="125">
        <v>1.0744601321450473</v>
      </c>
      <c r="O27" s="125">
        <v>1968.3931433787063</v>
      </c>
      <c r="P27" s="125">
        <v>13.75975</v>
      </c>
      <c r="Q27" s="125">
        <v>14.768596032749636</v>
      </c>
      <c r="R27" s="125">
        <v>3.3831113623377322</v>
      </c>
      <c r="S27" s="125">
        <v>2.4391158680584533</v>
      </c>
      <c r="T27" s="125">
        <v>1.566827657359861</v>
      </c>
      <c r="U27" s="125">
        <v>1.1296329893611634</v>
      </c>
      <c r="X27" s="125">
        <v>4.0671880190464682</v>
      </c>
      <c r="Y27" s="125">
        <v>8.781916719025423</v>
      </c>
      <c r="Z27" s="125">
        <v>0.931689780767752</v>
      </c>
      <c r="AA27" s="125">
        <v>1</v>
      </c>
      <c r="AC27" s="125">
        <v>2.7393253813062186</v>
      </c>
      <c r="AD27" s="125">
        <v>889.4910000000001</v>
      </c>
      <c r="AE27" s="125">
        <v>13.988023975770508</v>
      </c>
      <c r="AF27" s="125">
        <v>1.309153701840488</v>
      </c>
      <c r="AG27" s="125">
        <v>0.23614775057035767</v>
      </c>
      <c r="AH27" s="125">
        <v>581.82924904326694</v>
      </c>
      <c r="AI27" s="125">
        <v>1.1377185159234786</v>
      </c>
      <c r="AJ27" s="125">
        <v>143.05442637974573</v>
      </c>
      <c r="AK27" s="125">
        <v>1.561766905802032</v>
      </c>
      <c r="AL27" s="125">
        <v>6.90614756783791E-2</v>
      </c>
      <c r="AM27" s="125">
        <v>3.3831113623377322</v>
      </c>
      <c r="AN27" s="125">
        <f t="shared" si="0"/>
        <v>0.30126111907328135</v>
      </c>
    </row>
    <row r="28" spans="1:40">
      <c r="A28" s="125" t="s">
        <v>44</v>
      </c>
      <c r="B28" s="125" t="s">
        <v>64</v>
      </c>
      <c r="C28" s="125">
        <v>7950</v>
      </c>
      <c r="D28" s="125">
        <v>21.809349999999998</v>
      </c>
      <c r="E28" s="125">
        <v>511.4</v>
      </c>
      <c r="F28" s="125">
        <v>333.15</v>
      </c>
      <c r="G28" s="125">
        <v>0.99</v>
      </c>
      <c r="H28" s="125">
        <v>1.34</v>
      </c>
      <c r="I28" s="125">
        <v>1395.6220000000001</v>
      </c>
      <c r="J28" s="125">
        <v>421.94450000000001</v>
      </c>
      <c r="K28" s="125">
        <v>0.99</v>
      </c>
      <c r="L28" s="125">
        <v>1.34</v>
      </c>
      <c r="M28" s="125">
        <v>142.39451084742194</v>
      </c>
      <c r="N28" s="125">
        <v>1.0780890726329537</v>
      </c>
      <c r="O28" s="125">
        <v>2005.2379482713245</v>
      </c>
      <c r="P28" s="125">
        <v>14.082269999999999</v>
      </c>
      <c r="Q28" s="125">
        <v>15.114762757616178</v>
      </c>
      <c r="R28" s="125">
        <v>3.462409392940117</v>
      </c>
      <c r="S28" s="125">
        <v>2.5547986535189087</v>
      </c>
      <c r="T28" s="125">
        <v>1.6068925851888778</v>
      </c>
      <c r="U28" s="125">
        <v>1.1856734854522921</v>
      </c>
      <c r="X28" s="125">
        <v>4.0671880190464682</v>
      </c>
      <c r="Y28" s="125">
        <v>8.7636660532257906</v>
      </c>
      <c r="Z28" s="125">
        <v>0.931689780767752</v>
      </c>
      <c r="AA28" s="125">
        <v>1</v>
      </c>
      <c r="AC28" s="125">
        <v>2.7290222917481426</v>
      </c>
      <c r="AD28" s="125">
        <v>884.22200000000009</v>
      </c>
      <c r="AE28" s="125">
        <v>14.315894576084139</v>
      </c>
      <c r="AF28" s="125">
        <v>1.3077927630809514</v>
      </c>
      <c r="AG28" s="125">
        <v>0.23535285694335903</v>
      </c>
      <c r="AH28" s="125">
        <v>579.145248496617</v>
      </c>
      <c r="AI28" s="125">
        <v>1.1324701769585783</v>
      </c>
      <c r="AJ28" s="125">
        <v>142.39451084742194</v>
      </c>
      <c r="AK28" s="125">
        <v>1.5983737527621344</v>
      </c>
      <c r="AL28" s="125">
        <v>7.06802338052194E-2</v>
      </c>
      <c r="AM28" s="125">
        <v>3.462409392940117</v>
      </c>
      <c r="AN28" s="125">
        <f t="shared" si="0"/>
        <v>0.30934205479112098</v>
      </c>
    </row>
    <row r="29" spans="1:40">
      <c r="A29" s="125" t="s">
        <v>44</v>
      </c>
      <c r="B29" s="125" t="s">
        <v>64</v>
      </c>
      <c r="C29" s="125">
        <v>7950</v>
      </c>
      <c r="D29" s="125">
        <v>21.809349999999998</v>
      </c>
      <c r="E29" s="125">
        <v>511.4</v>
      </c>
      <c r="F29" s="125">
        <v>333.15</v>
      </c>
      <c r="G29" s="125">
        <v>0.99</v>
      </c>
      <c r="H29" s="125">
        <v>1.34</v>
      </c>
      <c r="I29" s="125">
        <v>1395.2550000000001</v>
      </c>
      <c r="J29" s="125">
        <v>421.89819999999997</v>
      </c>
      <c r="K29" s="125">
        <v>0.99</v>
      </c>
      <c r="L29" s="125">
        <v>1.34</v>
      </c>
      <c r="M29" s="125">
        <v>142.34909035732008</v>
      </c>
      <c r="N29" s="125">
        <v>1.07830744809151</v>
      </c>
      <c r="O29" s="125">
        <v>2007.549221309285</v>
      </c>
      <c r="P29" s="125">
        <v>14.103</v>
      </c>
      <c r="Q29" s="125">
        <v>15.137012652836578</v>
      </c>
      <c r="R29" s="125">
        <v>3.4675062804955785</v>
      </c>
      <c r="S29" s="125">
        <v>2.5623258429642917</v>
      </c>
      <c r="T29" s="125">
        <v>1.6095046933106165</v>
      </c>
      <c r="U29" s="125">
        <v>1.1893490988724882</v>
      </c>
      <c r="X29" s="125">
        <v>4.0671880190464682</v>
      </c>
      <c r="Y29" s="125">
        <v>8.762323004471213</v>
      </c>
      <c r="Z29" s="125">
        <v>0.931689780767752</v>
      </c>
      <c r="AA29" s="125">
        <v>1</v>
      </c>
      <c r="AC29" s="125">
        <v>2.728304653891279</v>
      </c>
      <c r="AD29" s="125">
        <v>883.85500000000013</v>
      </c>
      <c r="AE29" s="125">
        <v>14.33696848636723</v>
      </c>
      <c r="AF29" s="125">
        <v>1.3077112492153589</v>
      </c>
      <c r="AG29" s="125">
        <v>0.23530519401740177</v>
      </c>
      <c r="AH29" s="125">
        <v>578.96051482345536</v>
      </c>
      <c r="AI29" s="125">
        <v>1.1321089456852864</v>
      </c>
      <c r="AJ29" s="125">
        <v>142.34909035732008</v>
      </c>
      <c r="AK29" s="125">
        <v>1.6007266609150643</v>
      </c>
      <c r="AL29" s="125">
        <v>7.0784279619337601E-2</v>
      </c>
      <c r="AM29" s="125">
        <v>3.4675062804955785</v>
      </c>
      <c r="AN29" s="125">
        <f t="shared" si="0"/>
        <v>0.30986892371028768</v>
      </c>
    </row>
    <row r="30" spans="1:40">
      <c r="A30" s="125" t="s">
        <v>44</v>
      </c>
      <c r="B30" s="125" t="s">
        <v>64</v>
      </c>
      <c r="C30" s="125">
        <v>7950</v>
      </c>
      <c r="D30" s="125">
        <v>21.809349999999998</v>
      </c>
      <c r="E30" s="125">
        <v>511.4</v>
      </c>
      <c r="F30" s="125">
        <v>333.15</v>
      </c>
      <c r="G30" s="125">
        <v>0.99</v>
      </c>
      <c r="H30" s="125">
        <v>1.34</v>
      </c>
      <c r="I30" s="125">
        <v>1385.0830000000001</v>
      </c>
      <c r="J30" s="125">
        <v>420.7389</v>
      </c>
      <c r="K30" s="125">
        <v>0.99</v>
      </c>
      <c r="L30" s="125">
        <v>1.34</v>
      </c>
      <c r="M30" s="125">
        <v>141.10945024943564</v>
      </c>
      <c r="N30" s="125">
        <v>1.0830649209004235</v>
      </c>
      <c r="O30" s="125">
        <v>2062.3089710174918</v>
      </c>
      <c r="P30" s="125">
        <v>14.61496</v>
      </c>
      <c r="Q30" s="125">
        <v>15.68650885915766</v>
      </c>
      <c r="R30" s="125">
        <v>3.5933819463370673</v>
      </c>
      <c r="S30" s="125">
        <v>2.7517349958013471</v>
      </c>
      <c r="T30" s="125">
        <v>1.6755645208556542</v>
      </c>
      <c r="U30" s="125">
        <v>1.2831114528366709</v>
      </c>
      <c r="X30" s="125">
        <v>4.0671880190464682</v>
      </c>
      <c r="Y30" s="125">
        <v>8.7224095629195073</v>
      </c>
      <c r="Z30" s="125">
        <v>0.931689780767752</v>
      </c>
      <c r="AA30" s="125">
        <v>1</v>
      </c>
      <c r="AC30" s="125">
        <v>2.7084141572154872</v>
      </c>
      <c r="AD30" s="125">
        <v>873.68300000000011</v>
      </c>
      <c r="AE30" s="125">
        <v>14.857421892470937</v>
      </c>
      <c r="AF30" s="125">
        <v>1.3059460633593303</v>
      </c>
      <c r="AG30" s="125">
        <v>0.23427159202297729</v>
      </c>
      <c r="AH30" s="125">
        <v>573.91866542873834</v>
      </c>
      <c r="AI30" s="125">
        <v>1.1222500301696097</v>
      </c>
      <c r="AJ30" s="125">
        <v>141.10945024943564</v>
      </c>
      <c r="AK30" s="125">
        <v>1.658835433610383</v>
      </c>
      <c r="AL30" s="125">
        <v>7.3353854872398372E-2</v>
      </c>
      <c r="AM30" s="125">
        <v>3.5933819463370673</v>
      </c>
      <c r="AN30" s="125">
        <f t="shared" si="0"/>
        <v>0.32319187807098365</v>
      </c>
    </row>
    <row r="31" spans="1:40">
      <c r="A31" s="125" t="s">
        <v>44</v>
      </c>
      <c r="B31" s="125" t="s">
        <v>64</v>
      </c>
      <c r="C31" s="125">
        <v>7950</v>
      </c>
      <c r="D31" s="125">
        <v>21.809349999999998</v>
      </c>
      <c r="E31" s="125">
        <v>511.4</v>
      </c>
      <c r="F31" s="125">
        <v>333.15</v>
      </c>
      <c r="G31" s="125">
        <v>0.99</v>
      </c>
      <c r="H31" s="125">
        <v>1.34</v>
      </c>
      <c r="I31" s="125">
        <v>1375.0640000000001</v>
      </c>
      <c r="J31" s="125">
        <v>419.7518</v>
      </c>
      <c r="K31" s="125">
        <v>0.99</v>
      </c>
      <c r="L31" s="125">
        <v>1.34</v>
      </c>
      <c r="M31" s="125">
        <v>139.91051183475798</v>
      </c>
      <c r="N31" s="125">
        <v>1.0861026883753753</v>
      </c>
      <c r="O31" s="125">
        <v>2104.2974702534289</v>
      </c>
      <c r="P31" s="125">
        <v>15.04031</v>
      </c>
      <c r="Q31" s="125">
        <v>16.143044938848792</v>
      </c>
      <c r="R31" s="125">
        <v>3.6979628012196311</v>
      </c>
      <c r="S31" s="125">
        <v>2.9142373528190069</v>
      </c>
      <c r="T31" s="125">
        <v>1.7328185931819469</v>
      </c>
      <c r="U31" s="125">
        <v>1.3655747613914926</v>
      </c>
      <c r="X31" s="125">
        <v>4.0671880190464682</v>
      </c>
      <c r="Y31" s="125">
        <v>8.6796794881925408</v>
      </c>
      <c r="Z31" s="125">
        <v>0.931689780767752</v>
      </c>
      <c r="AA31" s="125">
        <v>1</v>
      </c>
      <c r="AC31" s="125">
        <v>2.6888228392647635</v>
      </c>
      <c r="AD31" s="125">
        <v>863.6640000000001</v>
      </c>
      <c r="AE31" s="125">
        <v>15.2898284404165</v>
      </c>
      <c r="AF31" s="125">
        <v>1.3048295028171601</v>
      </c>
      <c r="AG31" s="125">
        <v>0.23361634769832035</v>
      </c>
      <c r="AH31" s="125">
        <v>569.04235747298674</v>
      </c>
      <c r="AI31" s="125">
        <v>1.1127148171157348</v>
      </c>
      <c r="AJ31" s="125">
        <v>139.91051183475798</v>
      </c>
      <c r="AK31" s="125">
        <v>1.7071137492326065</v>
      </c>
      <c r="AL31" s="125">
        <v>7.5488726412927698E-2</v>
      </c>
      <c r="AM31" s="125">
        <v>3.6979628012196311</v>
      </c>
      <c r="AN31" s="125">
        <f t="shared" si="0"/>
        <v>0.33474144004186757</v>
      </c>
    </row>
    <row r="32" spans="1:40">
      <c r="A32" s="125" t="s">
        <v>44</v>
      </c>
      <c r="B32" s="125" t="s">
        <v>64</v>
      </c>
      <c r="C32" s="125">
        <v>7950</v>
      </c>
      <c r="D32" s="125">
        <v>21.809349999999998</v>
      </c>
      <c r="E32" s="125">
        <v>511.4</v>
      </c>
      <c r="F32" s="125">
        <v>333.15</v>
      </c>
      <c r="G32" s="125">
        <v>0.99</v>
      </c>
      <c r="H32" s="125">
        <v>1.34</v>
      </c>
      <c r="I32" s="125">
        <v>1351.403</v>
      </c>
      <c r="J32" s="125">
        <v>417.79</v>
      </c>
      <c r="K32" s="125">
        <v>0.99</v>
      </c>
      <c r="L32" s="125">
        <v>1.34</v>
      </c>
      <c r="M32" s="125">
        <v>137.12151379646474</v>
      </c>
      <c r="N32" s="125">
        <v>1.0891241963611209</v>
      </c>
      <c r="O32" s="125">
        <v>2182.532968365294</v>
      </c>
      <c r="P32" s="125">
        <v>15.916779999999999</v>
      </c>
      <c r="Q32" s="125">
        <v>17.083776519351641</v>
      </c>
      <c r="R32" s="125">
        <v>3.9134605839372059</v>
      </c>
      <c r="S32" s="125">
        <v>3.2637867281204165</v>
      </c>
      <c r="T32" s="125">
        <v>1.8571844218372171</v>
      </c>
      <c r="U32" s="125">
        <v>1.5488731105517015</v>
      </c>
      <c r="X32" s="125">
        <v>4.0671880190464682</v>
      </c>
      <c r="Y32" s="125">
        <v>8.5703820325255293</v>
      </c>
      <c r="Z32" s="125">
        <v>0.931689780767752</v>
      </c>
      <c r="AA32" s="125">
        <v>1</v>
      </c>
      <c r="AC32" s="125">
        <v>2.6425557293703559</v>
      </c>
      <c r="AD32" s="125">
        <v>840.00300000000004</v>
      </c>
      <c r="AE32" s="125">
        <v>16.180839060089355</v>
      </c>
      <c r="AF32" s="125">
        <v>1.3037269739007828</v>
      </c>
      <c r="AG32" s="125">
        <v>0.23296823643375603</v>
      </c>
      <c r="AH32" s="125">
        <v>557.69897806649658</v>
      </c>
      <c r="AI32" s="125">
        <v>1.0905337858163795</v>
      </c>
      <c r="AJ32" s="125">
        <v>137.12151379646474</v>
      </c>
      <c r="AK32" s="125">
        <v>1.8065953415528384</v>
      </c>
      <c r="AL32" s="125">
        <v>7.9887811540770071E-2</v>
      </c>
      <c r="AM32" s="125">
        <v>3.9134605839372059</v>
      </c>
      <c r="AN32" s="125">
        <f t="shared" si="0"/>
        <v>0.35978445958198119</v>
      </c>
    </row>
    <row r="33" spans="1:40">
      <c r="A33" s="125" t="s">
        <v>44</v>
      </c>
      <c r="B33" s="125" t="s">
        <v>64</v>
      </c>
      <c r="C33" s="125">
        <v>7950</v>
      </c>
      <c r="D33" s="125">
        <v>21.809349999999998</v>
      </c>
      <c r="E33" s="125">
        <v>511.4</v>
      </c>
      <c r="F33" s="125">
        <v>333.15</v>
      </c>
      <c r="G33" s="125">
        <v>0.99</v>
      </c>
      <c r="H33" s="125">
        <v>1.34</v>
      </c>
      <c r="I33" s="125">
        <v>1334.74</v>
      </c>
      <c r="J33" s="125">
        <v>416.5924</v>
      </c>
      <c r="K33" s="125">
        <v>0.99</v>
      </c>
      <c r="L33" s="125">
        <v>1.34</v>
      </c>
      <c r="M33" s="125">
        <v>135.16938364408421</v>
      </c>
      <c r="N33" s="125">
        <v>1.0890279062992068</v>
      </c>
      <c r="O33" s="125">
        <v>2220.5923717694168</v>
      </c>
      <c r="P33" s="125">
        <v>16.42822</v>
      </c>
      <c r="Q33" s="125">
        <v>17.63271459998461</v>
      </c>
      <c r="R33" s="125">
        <v>4.0392083973171014</v>
      </c>
      <c r="S33" s="125">
        <v>3.476901322531416</v>
      </c>
      <c r="T33" s="125">
        <v>1.9352266391399693</v>
      </c>
      <c r="U33" s="125">
        <v>1.6658194871779857</v>
      </c>
      <c r="X33" s="125">
        <v>4.0671880190464682</v>
      </c>
      <c r="Y33" s="125">
        <v>8.4890418867429585</v>
      </c>
      <c r="Z33" s="125">
        <v>0.931689780767752</v>
      </c>
      <c r="AA33" s="125">
        <v>1</v>
      </c>
      <c r="AC33" s="125">
        <v>2.609972624168948</v>
      </c>
      <c r="AD33" s="125">
        <v>823.34</v>
      </c>
      <c r="AE33" s="125">
        <v>16.700763839403518</v>
      </c>
      <c r="AF33" s="125">
        <v>1.3037619864824417</v>
      </c>
      <c r="AG33" s="125">
        <v>0.23298883510324878</v>
      </c>
      <c r="AH33" s="125">
        <v>549.75929769911488</v>
      </c>
      <c r="AI33" s="125">
        <v>1.0750084037917773</v>
      </c>
      <c r="AJ33" s="125">
        <v>135.16938364408421</v>
      </c>
      <c r="AK33" s="125">
        <v>1.8646450929148464</v>
      </c>
      <c r="AL33" s="125">
        <v>8.2454776865063764E-2</v>
      </c>
      <c r="AM33" s="125">
        <v>4.0392083973171014</v>
      </c>
      <c r="AN33" s="125">
        <f t="shared" si="0"/>
        <v>0.37553371440836847</v>
      </c>
    </row>
    <row r="34" spans="1:40">
      <c r="A34" s="125" t="s">
        <v>44</v>
      </c>
      <c r="B34" s="125" t="s">
        <v>64</v>
      </c>
      <c r="C34" s="125">
        <v>7950</v>
      </c>
      <c r="D34" s="125">
        <v>21.809349999999998</v>
      </c>
      <c r="E34" s="125">
        <v>511.4</v>
      </c>
      <c r="F34" s="125">
        <v>333.15</v>
      </c>
      <c r="G34" s="125">
        <v>0.99</v>
      </c>
      <c r="H34" s="125">
        <v>1.34</v>
      </c>
      <c r="I34" s="125">
        <v>1304.52</v>
      </c>
      <c r="J34" s="125">
        <v>414.65980000000002</v>
      </c>
      <c r="K34" s="125">
        <v>0.99</v>
      </c>
      <c r="L34" s="125">
        <v>1.34</v>
      </c>
      <c r="M34" s="125">
        <v>131.62494615738277</v>
      </c>
      <c r="N34" s="125">
        <v>1.0856150145095069</v>
      </c>
      <c r="O34" s="125">
        <v>2260.9651363775961</v>
      </c>
      <c r="P34" s="125">
        <v>17.177330000000001</v>
      </c>
      <c r="Q34" s="125">
        <v>18.43674831964471</v>
      </c>
      <c r="R34" s="125">
        <v>4.2233921617489276</v>
      </c>
      <c r="S34" s="125">
        <v>3.801217003080632</v>
      </c>
      <c r="T34" s="125">
        <v>2.0607414553031078</v>
      </c>
      <c r="U34" s="125">
        <v>1.8547473591956189</v>
      </c>
      <c r="X34" s="125">
        <v>4.0671880190464682</v>
      </c>
      <c r="Y34" s="125">
        <v>8.3355095108102457</v>
      </c>
      <c r="Z34" s="125">
        <v>0.931689780767752</v>
      </c>
      <c r="AA34" s="125">
        <v>1</v>
      </c>
      <c r="AC34" s="125">
        <v>2.550879937426672</v>
      </c>
      <c r="AD34" s="125">
        <v>793.12</v>
      </c>
      <c r="AE34" s="125">
        <v>17.46230155923778</v>
      </c>
      <c r="AF34" s="125">
        <v>1.305008202540705</v>
      </c>
      <c r="AG34" s="125">
        <v>0.23372129151900209</v>
      </c>
      <c r="AH34" s="125">
        <v>535.34340401894372</v>
      </c>
      <c r="AI34" s="125">
        <v>1.0468193273737656</v>
      </c>
      <c r="AJ34" s="125">
        <v>131.62494615738277</v>
      </c>
      <c r="AK34" s="125">
        <v>1.9496709986766054</v>
      </c>
      <c r="AL34" s="125">
        <v>8.6214630208724136E-2</v>
      </c>
      <c r="AM34" s="125">
        <v>4.2233921617489276</v>
      </c>
      <c r="AN34" s="125">
        <f t="shared" si="0"/>
        <v>0.40099354826771377</v>
      </c>
    </row>
    <row r="35" spans="1:40">
      <c r="A35" s="125" t="s">
        <v>44</v>
      </c>
      <c r="B35" s="125" t="s">
        <v>64</v>
      </c>
      <c r="C35" s="125">
        <v>7950</v>
      </c>
      <c r="D35" s="125">
        <v>21.809349999999998</v>
      </c>
      <c r="E35" s="125">
        <v>511.4</v>
      </c>
      <c r="F35" s="125">
        <v>333.15</v>
      </c>
      <c r="G35" s="125">
        <v>0.99</v>
      </c>
      <c r="H35" s="125">
        <v>1.34</v>
      </c>
      <c r="I35" s="125">
        <v>1290.568</v>
      </c>
      <c r="J35" s="125">
        <v>413.8175</v>
      </c>
      <c r="K35" s="125">
        <v>0.99</v>
      </c>
      <c r="L35" s="125">
        <v>1.34</v>
      </c>
      <c r="M35" s="125">
        <v>129.97654111811121</v>
      </c>
      <c r="N35" s="125">
        <v>1.0832129411980853</v>
      </c>
      <c r="O35" s="125">
        <v>2273.5275612260111</v>
      </c>
      <c r="P35" s="125">
        <v>17.49183</v>
      </c>
      <c r="Q35" s="125">
        <v>18.774307029090721</v>
      </c>
      <c r="R35" s="125">
        <v>4.3007183140013456</v>
      </c>
      <c r="S35" s="125">
        <v>3.9416843287363812</v>
      </c>
      <c r="T35" s="125">
        <v>2.1168489258247383</v>
      </c>
      <c r="U35" s="125">
        <v>1.9401294453676237</v>
      </c>
      <c r="X35" s="125">
        <v>4.0671880190464682</v>
      </c>
      <c r="Y35" s="125">
        <v>8.2631451808423542</v>
      </c>
      <c r="Z35" s="125">
        <v>0.931689780767752</v>
      </c>
      <c r="AA35" s="125">
        <v>1</v>
      </c>
      <c r="AC35" s="125">
        <v>2.5235979663668364</v>
      </c>
      <c r="AD35" s="125">
        <v>779.16800000000001</v>
      </c>
      <c r="AE35" s="125">
        <v>17.782019107912703</v>
      </c>
      <c r="AF35" s="125">
        <v>1.3058914675401092</v>
      </c>
      <c r="AG35" s="125">
        <v>0.23423957897229622</v>
      </c>
      <c r="AH35" s="125">
        <v>528.63903079268266</v>
      </c>
      <c r="AI35" s="125">
        <v>1.0337094853200677</v>
      </c>
      <c r="AJ35" s="125">
        <v>129.97654111811121</v>
      </c>
      <c r="AK35" s="125">
        <v>1.9853675550729595</v>
      </c>
      <c r="AL35" s="125">
        <v>8.7793135203426076E-2</v>
      </c>
      <c r="AM35" s="125">
        <v>4.3007183140013456</v>
      </c>
      <c r="AN35" s="125">
        <f t="shared" si="0"/>
        <v>0.41244110999276268</v>
      </c>
    </row>
    <row r="36" spans="1:40">
      <c r="A36" s="125" t="s">
        <v>44</v>
      </c>
      <c r="B36" s="125" t="s">
        <v>64</v>
      </c>
      <c r="C36" s="125">
        <v>7950</v>
      </c>
      <c r="D36" s="125">
        <v>21.809349999999998</v>
      </c>
      <c r="E36" s="125">
        <v>511.4</v>
      </c>
      <c r="F36" s="125">
        <v>333.15</v>
      </c>
      <c r="G36" s="125">
        <v>0.99</v>
      </c>
      <c r="H36" s="125">
        <v>1.34</v>
      </c>
      <c r="I36" s="125">
        <v>1261.9270000000001</v>
      </c>
      <c r="J36" s="125">
        <v>412.1268</v>
      </c>
      <c r="K36" s="125">
        <v>0.99</v>
      </c>
      <c r="L36" s="125">
        <v>1.34</v>
      </c>
      <c r="M36" s="125">
        <v>126.55675096365123</v>
      </c>
      <c r="N36" s="125">
        <v>1.0772915319066882</v>
      </c>
      <c r="O36" s="125">
        <v>2291.3783168424261</v>
      </c>
      <c r="P36" s="125">
        <v>18.105540000000001</v>
      </c>
      <c r="Q36" s="125">
        <v>19.433013406114927</v>
      </c>
      <c r="R36" s="125">
        <v>4.4516112643950878</v>
      </c>
      <c r="S36" s="125">
        <v>4.2231286287833285</v>
      </c>
      <c r="T36" s="125">
        <v>2.2316946031896974</v>
      </c>
      <c r="U36" s="125">
        <v>2.1171510290695501</v>
      </c>
      <c r="X36" s="125">
        <v>4.0671880190464682</v>
      </c>
      <c r="Y36" s="125">
        <v>8.1129111367309257</v>
      </c>
      <c r="Z36" s="125">
        <v>0.931689780767752</v>
      </c>
      <c r="AA36" s="125">
        <v>1</v>
      </c>
      <c r="AC36" s="125">
        <v>2.467592882283927</v>
      </c>
      <c r="AD36" s="125">
        <v>750.52700000000016</v>
      </c>
      <c r="AE36" s="125">
        <v>18.405910544470064</v>
      </c>
      <c r="AF36" s="125">
        <v>1.3080908314761919</v>
      </c>
      <c r="AG36" s="125">
        <v>0.23552709342707392</v>
      </c>
      <c r="AH36" s="125">
        <v>514.73010124880989</v>
      </c>
      <c r="AI36" s="125">
        <v>1.0065117349409658</v>
      </c>
      <c r="AJ36" s="125">
        <v>126.55675096365123</v>
      </c>
      <c r="AK36" s="125">
        <v>2.0550252136612164</v>
      </c>
      <c r="AL36" s="125">
        <v>9.0873403248890428E-2</v>
      </c>
      <c r="AM36" s="125">
        <v>4.4516112643950878</v>
      </c>
      <c r="AN36" s="125">
        <f t="shared" si="0"/>
        <v>0.43605343462611623</v>
      </c>
    </row>
    <row r="37" spans="1:40">
      <c r="A37" s="125" t="s">
        <v>44</v>
      </c>
      <c r="B37" s="125" t="s">
        <v>64</v>
      </c>
      <c r="C37" s="125">
        <v>7950</v>
      </c>
      <c r="D37" s="125">
        <v>21.809349999999998</v>
      </c>
      <c r="E37" s="125">
        <v>511.4</v>
      </c>
      <c r="F37" s="125">
        <v>333.15</v>
      </c>
      <c r="G37" s="125">
        <v>0.99</v>
      </c>
      <c r="H37" s="125">
        <v>1.34</v>
      </c>
      <c r="I37" s="125">
        <v>1244.598</v>
      </c>
      <c r="J37" s="125">
        <v>411.17419999999998</v>
      </c>
      <c r="K37" s="125">
        <v>0.99</v>
      </c>
      <c r="L37" s="125">
        <v>1.34</v>
      </c>
      <c r="M37" s="125">
        <v>124.47016982867868</v>
      </c>
      <c r="N37" s="125">
        <v>1.072465720982968</v>
      </c>
      <c r="O37" s="125">
        <v>2294.7681473107705</v>
      </c>
      <c r="P37" s="125">
        <v>18.43629</v>
      </c>
      <c r="Q37" s="125">
        <v>19.788013543314506</v>
      </c>
      <c r="R37" s="125">
        <v>4.5329328060723135</v>
      </c>
      <c r="S37" s="125">
        <v>4.378833245818611</v>
      </c>
      <c r="T37" s="125">
        <v>2.2987775375144621</v>
      </c>
      <c r="U37" s="125">
        <v>2.2206293224830089</v>
      </c>
      <c r="X37" s="125">
        <v>4.0671880190464682</v>
      </c>
      <c r="Y37" s="125">
        <v>8.0200409561745225</v>
      </c>
      <c r="Z37" s="125">
        <v>0.931689780767752</v>
      </c>
      <c r="AA37" s="125">
        <v>1</v>
      </c>
      <c r="AC37" s="125">
        <v>2.4337074696910443</v>
      </c>
      <c r="AD37" s="125">
        <v>733.19799999999998</v>
      </c>
      <c r="AE37" s="125">
        <v>18.74214768031818</v>
      </c>
      <c r="AF37" s="125">
        <v>1.309906790522902</v>
      </c>
      <c r="AG37" s="125">
        <v>0.23658690279725192</v>
      </c>
      <c r="AH37" s="125">
        <v>506.24358345588109</v>
      </c>
      <c r="AI37" s="125">
        <v>0.98991705798959939</v>
      </c>
      <c r="AJ37" s="125">
        <v>124.47016982867868</v>
      </c>
      <c r="AK37" s="125">
        <v>2.0925661867235195</v>
      </c>
      <c r="AL37" s="125">
        <v>9.2533468517563472E-2</v>
      </c>
      <c r="AM37" s="125">
        <v>4.5329328060723135</v>
      </c>
      <c r="AN37" s="125">
        <f t="shared" si="0"/>
        <v>0.44995025813698708</v>
      </c>
    </row>
    <row r="38" spans="1:40">
      <c r="A38" s="125" t="s">
        <v>44</v>
      </c>
      <c r="B38" s="125" t="s">
        <v>64</v>
      </c>
      <c r="C38" s="125">
        <v>7950</v>
      </c>
      <c r="D38" s="125">
        <v>21.809349999999998</v>
      </c>
      <c r="E38" s="125">
        <v>511.4</v>
      </c>
      <c r="F38" s="125">
        <v>333.15</v>
      </c>
      <c r="G38" s="125">
        <v>0.99</v>
      </c>
      <c r="H38" s="125">
        <v>1.34</v>
      </c>
      <c r="I38" s="125">
        <v>1195.893</v>
      </c>
      <c r="J38" s="125">
        <v>408.72770000000003</v>
      </c>
      <c r="K38" s="125">
        <v>0.99</v>
      </c>
      <c r="L38" s="125">
        <v>1.34</v>
      </c>
      <c r="M38" s="125">
        <v>118.51718327666842</v>
      </c>
      <c r="N38" s="125">
        <v>1.0542293726627017</v>
      </c>
      <c r="O38" s="125">
        <v>2282.059030538745</v>
      </c>
      <c r="P38" s="125">
        <v>19.255089999999999</v>
      </c>
      <c r="Q38" s="125">
        <v>20.666846838368222</v>
      </c>
      <c r="R38" s="125">
        <v>4.7342512590588957</v>
      </c>
      <c r="S38" s="125">
        <v>4.776419368673114</v>
      </c>
      <c r="T38" s="125">
        <v>2.4837847543515053</v>
      </c>
      <c r="U38" s="125">
        <v>2.5059078952767373</v>
      </c>
      <c r="X38" s="125">
        <v>4.0671880190464682</v>
      </c>
      <c r="Y38" s="125">
        <v>7.752318298220386</v>
      </c>
      <c r="Z38" s="125">
        <v>0.931689780767752</v>
      </c>
      <c r="AA38" s="125">
        <v>1</v>
      </c>
      <c r="AC38" s="125">
        <v>2.3384689088775912</v>
      </c>
      <c r="AD38" s="125">
        <v>684.49300000000005</v>
      </c>
      <c r="AE38" s="125">
        <v>19.574531555850864</v>
      </c>
      <c r="AF38" s="125">
        <v>1.3169668555966099</v>
      </c>
      <c r="AG38" s="125">
        <v>0.24067944781572967</v>
      </c>
      <c r="AH38" s="125">
        <v>482.03166787400033</v>
      </c>
      <c r="AI38" s="125">
        <v>0.94257267867422823</v>
      </c>
      <c r="AJ38" s="125">
        <v>118.51718327666842</v>
      </c>
      <c r="AK38" s="125">
        <v>2.1855020861745049</v>
      </c>
      <c r="AL38" s="125">
        <v>9.6643102506949657E-2</v>
      </c>
      <c r="AM38" s="125">
        <v>4.7342512590588957</v>
      </c>
      <c r="AN38" s="125">
        <f t="shared" si="0"/>
        <v>0.48876899525053147</v>
      </c>
    </row>
    <row r="39" spans="1:40">
      <c r="A39" s="125" t="s">
        <v>44</v>
      </c>
      <c r="B39" s="125" t="s">
        <v>64</v>
      </c>
      <c r="C39" s="125">
        <v>7950</v>
      </c>
      <c r="D39" s="125">
        <v>21.809349999999998</v>
      </c>
      <c r="E39" s="125">
        <v>511.4</v>
      </c>
      <c r="F39" s="125">
        <v>333.15</v>
      </c>
      <c r="G39" s="125">
        <v>0.99</v>
      </c>
      <c r="H39" s="125">
        <v>1.34</v>
      </c>
      <c r="I39" s="125">
        <v>1168.085</v>
      </c>
      <c r="J39" s="125">
        <v>407.40379999999999</v>
      </c>
      <c r="K39" s="125">
        <v>0.99</v>
      </c>
      <c r="L39" s="125">
        <v>1.34</v>
      </c>
      <c r="M39" s="125">
        <v>115.04166534295595</v>
      </c>
      <c r="N39" s="125">
        <v>1.0415591490979055</v>
      </c>
      <c r="O39" s="125">
        <v>2261.9664802230013</v>
      </c>
      <c r="P39" s="125">
        <v>19.66215</v>
      </c>
      <c r="Q39" s="125">
        <v>21.103751920298571</v>
      </c>
      <c r="R39" s="125">
        <v>4.8343351494750157</v>
      </c>
      <c r="S39" s="125">
        <v>4.9805047070698265</v>
      </c>
      <c r="T39" s="125">
        <v>2.588262320743171</v>
      </c>
      <c r="U39" s="125">
        <v>2.6665202707331366</v>
      </c>
      <c r="X39" s="125">
        <v>4.0671880190464682</v>
      </c>
      <c r="Y39" s="125">
        <v>7.5966604475988291</v>
      </c>
      <c r="Z39" s="125">
        <v>0.931689780767752</v>
      </c>
      <c r="AA39" s="125">
        <v>1</v>
      </c>
      <c r="AC39" s="125">
        <v>2.2840926867422762</v>
      </c>
      <c r="AD39" s="125">
        <v>656.68500000000006</v>
      </c>
      <c r="AE39" s="125">
        <v>19.988344673064269</v>
      </c>
      <c r="AF39" s="125">
        <v>1.3220644681629605</v>
      </c>
      <c r="AG39" s="125">
        <v>0.24360723392746242</v>
      </c>
      <c r="AH39" s="125">
        <v>467.89608297402378</v>
      </c>
      <c r="AI39" s="125">
        <v>0.91493172267114542</v>
      </c>
      <c r="AJ39" s="125">
        <v>115.04166534295595</v>
      </c>
      <c r="AK39" s="125">
        <v>2.2317044399001018</v>
      </c>
      <c r="AL39" s="125">
        <v>9.8686174822190928E-2</v>
      </c>
      <c r="AM39" s="125">
        <v>4.8343351494750157</v>
      </c>
      <c r="AN39" s="125">
        <f t="shared" si="0"/>
        <v>0.51117661601024045</v>
      </c>
    </row>
    <row r="40" spans="1:40">
      <c r="A40" s="125" t="s">
        <v>44</v>
      </c>
      <c r="B40" s="125" t="s">
        <v>64</v>
      </c>
      <c r="C40" s="125">
        <v>7950</v>
      </c>
      <c r="D40" s="125">
        <v>21.809349999999998</v>
      </c>
      <c r="E40" s="125">
        <v>511.4</v>
      </c>
      <c r="F40" s="125">
        <v>333.15</v>
      </c>
      <c r="G40" s="125">
        <v>0.99</v>
      </c>
      <c r="H40" s="125">
        <v>1.34</v>
      </c>
      <c r="I40" s="125">
        <v>1103.818</v>
      </c>
      <c r="J40" s="125">
        <v>404.76119999999997</v>
      </c>
      <c r="K40" s="125">
        <v>0.99</v>
      </c>
      <c r="L40" s="125">
        <v>1.34</v>
      </c>
      <c r="M40" s="125">
        <v>106.80011430180161</v>
      </c>
      <c r="N40" s="125">
        <v>1.0026243050038364</v>
      </c>
      <c r="O40" s="125">
        <v>2177.3819903222652</v>
      </c>
      <c r="P40" s="125">
        <v>20.387450000000001</v>
      </c>
      <c r="Q40" s="125">
        <v>21.882229923354828</v>
      </c>
      <c r="R40" s="125">
        <v>5.0126647463865552</v>
      </c>
      <c r="S40" s="125">
        <v>5.3547248887782297</v>
      </c>
      <c r="T40" s="125">
        <v>2.8215709052595863</v>
      </c>
      <c r="U40" s="125">
        <v>3.0141125960473132</v>
      </c>
      <c r="X40" s="125">
        <v>4.0671880190464682</v>
      </c>
      <c r="Y40" s="125">
        <v>7.2255671342501113</v>
      </c>
      <c r="Z40" s="125">
        <v>0.931689780767752</v>
      </c>
      <c r="AA40" s="125">
        <v>1</v>
      </c>
      <c r="AC40" s="125">
        <v>2.1584239342980056</v>
      </c>
      <c r="AD40" s="125">
        <v>592.41800000000001</v>
      </c>
      <c r="AE40" s="125">
        <v>20.725677385477386</v>
      </c>
      <c r="AF40" s="125">
        <v>1.3388085564334125</v>
      </c>
      <c r="AG40" s="125">
        <v>0.25306721771781832</v>
      </c>
      <c r="AH40" s="125">
        <v>434.37614532108091</v>
      </c>
      <c r="AI40" s="125">
        <v>0.84938628338107347</v>
      </c>
      <c r="AJ40" s="125">
        <v>106.80011430180161</v>
      </c>
      <c r="AK40" s="125">
        <v>2.3140278496116311</v>
      </c>
      <c r="AL40" s="125">
        <v>0.10232652354288198</v>
      </c>
      <c r="AM40" s="125">
        <v>5.0126647463865552</v>
      </c>
      <c r="AN40" s="125">
        <f t="shared" si="0"/>
        <v>0.56283969996244332</v>
      </c>
    </row>
    <row r="41" spans="1:40">
      <c r="A41" s="125" t="s">
        <v>44</v>
      </c>
      <c r="B41" s="125" t="s">
        <v>64</v>
      </c>
      <c r="C41" s="125">
        <v>7950</v>
      </c>
      <c r="D41" s="125">
        <v>21.809349999999998</v>
      </c>
      <c r="E41" s="125">
        <v>511.4</v>
      </c>
      <c r="F41" s="125">
        <v>333.15</v>
      </c>
      <c r="G41" s="125">
        <v>0.99</v>
      </c>
      <c r="H41" s="125">
        <v>1.34</v>
      </c>
      <c r="I41" s="125">
        <v>1080.6660000000002</v>
      </c>
      <c r="J41" s="125">
        <v>403.8202</v>
      </c>
      <c r="K41" s="125">
        <v>0.99</v>
      </c>
      <c r="L41" s="125">
        <v>1.34</v>
      </c>
      <c r="M41" s="125">
        <v>103.73291857157162</v>
      </c>
      <c r="N41" s="125">
        <v>0.98679681454633128</v>
      </c>
      <c r="O41" s="125">
        <v>2140.3327195082798</v>
      </c>
      <c r="P41" s="125">
        <v>20.633109999999999</v>
      </c>
      <c r="Q41" s="125">
        <v>22.145901378243558</v>
      </c>
      <c r="R41" s="125">
        <v>5.0730651996848986</v>
      </c>
      <c r="S41" s="125">
        <v>5.4845466143502861</v>
      </c>
      <c r="T41" s="125">
        <v>2.9099659128341537</v>
      </c>
      <c r="U41" s="125">
        <v>3.1459961713286484</v>
      </c>
      <c r="X41" s="125">
        <v>4.0671880190464682</v>
      </c>
      <c r="Y41" s="125">
        <v>7.0904988642648519</v>
      </c>
      <c r="Z41" s="125">
        <v>0.931689780767752</v>
      </c>
      <c r="AA41" s="125">
        <v>1</v>
      </c>
      <c r="AC41" s="125">
        <v>2.1131521314039894</v>
      </c>
      <c r="AD41" s="125">
        <v>569.26600000000019</v>
      </c>
      <c r="AE41" s="125">
        <v>20.975412879936783</v>
      </c>
      <c r="AF41" s="125">
        <v>1.3461237136793727</v>
      </c>
      <c r="AG41" s="125">
        <v>0.25712622856431927</v>
      </c>
      <c r="AH41" s="125">
        <v>421.90128359501898</v>
      </c>
      <c r="AI41" s="125">
        <v>0.82499273288036568</v>
      </c>
      <c r="AJ41" s="125">
        <v>103.73291857157162</v>
      </c>
      <c r="AK41" s="125">
        <v>2.3419108894982075</v>
      </c>
      <c r="AL41" s="125">
        <v>0.10355951412157348</v>
      </c>
      <c r="AM41" s="125">
        <v>5.0730651996848986</v>
      </c>
      <c r="AN41" s="125">
        <f t="shared" si="0"/>
        <v>0.58318556125678922</v>
      </c>
    </row>
    <row r="42" spans="1:40">
      <c r="A42" s="125" t="s">
        <v>44</v>
      </c>
      <c r="B42" s="125" t="s">
        <v>64</v>
      </c>
      <c r="C42" s="125">
        <v>7950</v>
      </c>
      <c r="D42" s="125">
        <v>21.809349999999998</v>
      </c>
      <c r="E42" s="125">
        <v>511.4</v>
      </c>
      <c r="F42" s="125">
        <v>333.15</v>
      </c>
      <c r="G42" s="125">
        <v>0.99</v>
      </c>
      <c r="H42" s="125">
        <v>1.34</v>
      </c>
      <c r="I42" s="125">
        <v>1017.784</v>
      </c>
      <c r="J42" s="125">
        <v>401.37790000000001</v>
      </c>
      <c r="K42" s="125">
        <v>0.99</v>
      </c>
      <c r="L42" s="125">
        <v>1.34</v>
      </c>
      <c r="M42" s="125">
        <v>95.122975481844009</v>
      </c>
      <c r="N42" s="125">
        <v>0.93728331193743031</v>
      </c>
      <c r="O42" s="125">
        <v>2018.7273713385835</v>
      </c>
      <c r="P42" s="125">
        <v>21.222290000000001</v>
      </c>
      <c r="Q42" s="125">
        <v>22.778279249249607</v>
      </c>
      <c r="R42" s="125">
        <v>5.2179269560730708</v>
      </c>
      <c r="S42" s="125">
        <v>5.8022419493694315</v>
      </c>
      <c r="T42" s="125">
        <v>3.1587607902726695</v>
      </c>
      <c r="U42" s="125">
        <v>3.5124858051168855</v>
      </c>
      <c r="X42" s="125">
        <v>4.0671880190464682</v>
      </c>
      <c r="Y42" s="125">
        <v>6.7185492694963003</v>
      </c>
      <c r="Z42" s="125">
        <v>0.931689780767752</v>
      </c>
      <c r="AA42" s="125">
        <v>1</v>
      </c>
      <c r="AC42" s="125">
        <v>1.9901916308173642</v>
      </c>
      <c r="AD42" s="125">
        <v>506.38400000000001</v>
      </c>
      <c r="AE42" s="125">
        <v>21.574367364287486</v>
      </c>
      <c r="AF42" s="125">
        <v>1.371195395403904</v>
      </c>
      <c r="AG42" s="125">
        <v>0.27070933628285954</v>
      </c>
      <c r="AH42" s="125">
        <v>386.88302621580692</v>
      </c>
      <c r="AI42" s="125">
        <v>0.75651745446970464</v>
      </c>
      <c r="AJ42" s="125">
        <v>95.122975481844009</v>
      </c>
      <c r="AK42" s="125">
        <v>2.4087843301901128</v>
      </c>
      <c r="AL42" s="125">
        <v>0.10651666379654487</v>
      </c>
      <c r="AM42" s="125">
        <v>5.2179269560730708</v>
      </c>
      <c r="AN42" s="125">
        <f t="shared" si="0"/>
        <v>0.64342343747004516</v>
      </c>
    </row>
    <row r="43" spans="1:40">
      <c r="A43" s="125" t="s">
        <v>44</v>
      </c>
      <c r="B43" s="125" t="s">
        <v>64</v>
      </c>
      <c r="C43" s="125">
        <v>7950</v>
      </c>
      <c r="D43" s="125">
        <v>21.809349999999998</v>
      </c>
      <c r="E43" s="125">
        <v>511.4</v>
      </c>
      <c r="F43" s="125">
        <v>333.15</v>
      </c>
      <c r="G43" s="125">
        <v>0.99</v>
      </c>
      <c r="H43" s="125">
        <v>1.34</v>
      </c>
      <c r="I43" s="125">
        <v>984.9873</v>
      </c>
      <c r="J43" s="125">
        <v>400.2448</v>
      </c>
      <c r="K43" s="125">
        <v>0.99</v>
      </c>
      <c r="L43" s="125">
        <v>1.34</v>
      </c>
      <c r="M43" s="125">
        <v>90.463982422893906</v>
      </c>
      <c r="N43" s="125">
        <v>0.90643006474895671</v>
      </c>
      <c r="O43" s="125">
        <v>1941.2168436225477</v>
      </c>
      <c r="P43" s="125">
        <v>21.458449999999999</v>
      </c>
      <c r="Q43" s="125">
        <v>23.031754177143945</v>
      </c>
      <c r="R43" s="125">
        <v>5.2759916432461429</v>
      </c>
      <c r="S43" s="125">
        <v>5.9320942431810844</v>
      </c>
      <c r="T43" s="125">
        <v>3.2909408186340703</v>
      </c>
      <c r="U43" s="125">
        <v>3.7001899178250914</v>
      </c>
      <c r="X43" s="125">
        <v>4.0671880190464682</v>
      </c>
      <c r="Y43" s="125">
        <v>6.5204606167626222</v>
      </c>
      <c r="Z43" s="125">
        <v>0.931689780767752</v>
      </c>
      <c r="AA43" s="125">
        <v>1</v>
      </c>
      <c r="AC43" s="125">
        <v>1.9260604223699649</v>
      </c>
      <c r="AD43" s="125">
        <v>473.58730000000003</v>
      </c>
      <c r="AE43" s="125">
        <v>21.814445253937944</v>
      </c>
      <c r="AF43" s="125">
        <v>1.3887419033301147</v>
      </c>
      <c r="AG43" s="125">
        <v>0.2799237946215466</v>
      </c>
      <c r="AH43" s="125">
        <v>367.93402546562442</v>
      </c>
      <c r="AI43" s="125">
        <v>0.71946426567388422</v>
      </c>
      <c r="AJ43" s="125">
        <v>90.463982422893906</v>
      </c>
      <c r="AK43" s="125">
        <v>2.4355890957181354</v>
      </c>
      <c r="AL43" s="125">
        <v>0.10770197298429943</v>
      </c>
      <c r="AM43" s="125">
        <v>5.2759916432461429</v>
      </c>
      <c r="AN43" s="125">
        <f t="shared" si="0"/>
        <v>0.67774542796105708</v>
      </c>
    </row>
    <row r="44" spans="1:40">
      <c r="A44" s="125" t="s">
        <v>44</v>
      </c>
      <c r="B44" s="125" t="s">
        <v>64</v>
      </c>
      <c r="C44" s="125">
        <v>7950</v>
      </c>
      <c r="D44" s="125">
        <v>21.809349999999998</v>
      </c>
      <c r="E44" s="125">
        <v>511.4</v>
      </c>
      <c r="F44" s="125">
        <v>333.15</v>
      </c>
      <c r="G44" s="125">
        <v>0.99</v>
      </c>
      <c r="H44" s="125">
        <v>1.34</v>
      </c>
      <c r="I44" s="125">
        <v>926.3821999999999</v>
      </c>
      <c r="J44" s="125">
        <v>398.44040000000001</v>
      </c>
      <c r="K44" s="125">
        <v>0.99</v>
      </c>
      <c r="L44" s="125">
        <v>1.34</v>
      </c>
      <c r="M44" s="125">
        <v>81.807417307003192</v>
      </c>
      <c r="N44" s="125">
        <v>0.84234657598549123</v>
      </c>
      <c r="O44" s="125">
        <v>1782.4797276996198</v>
      </c>
      <c r="P44" s="125">
        <v>21.788730000000001</v>
      </c>
      <c r="Q44" s="125">
        <v>23.386249854586964</v>
      </c>
      <c r="R44" s="125">
        <v>5.3571976259676974</v>
      </c>
      <c r="S44" s="125">
        <v>6.1161084757439408</v>
      </c>
      <c r="T44" s="125">
        <v>3.5369729587759582</v>
      </c>
      <c r="U44" s="125">
        <v>4.0380273049454978</v>
      </c>
      <c r="X44" s="125">
        <v>4.0671880190464682</v>
      </c>
      <c r="Y44" s="125">
        <v>6.1602761044405714</v>
      </c>
      <c r="Z44" s="125">
        <v>0.931689780767752</v>
      </c>
      <c r="AA44" s="125">
        <v>1</v>
      </c>
      <c r="AC44" s="125">
        <v>1.8114630426280796</v>
      </c>
      <c r="AD44" s="125">
        <v>414.98219999999992</v>
      </c>
      <c r="AE44" s="125">
        <v>22.150204592495513</v>
      </c>
      <c r="AF44" s="125">
        <v>1.4310648606881682</v>
      </c>
      <c r="AG44" s="125">
        <v>0.30121965295191333</v>
      </c>
      <c r="AH44" s="125">
        <v>332.72614754017809</v>
      </c>
      <c r="AI44" s="125">
        <v>0.65061820011767324</v>
      </c>
      <c r="AJ44" s="125">
        <v>81.807417307003192</v>
      </c>
      <c r="AK44" s="125">
        <v>2.473076722575331</v>
      </c>
      <c r="AL44" s="125">
        <v>0.10935967927889455</v>
      </c>
      <c r="AM44" s="125">
        <v>5.3571976259676974</v>
      </c>
      <c r="AN44" s="125">
        <f t="shared" si="0"/>
        <v>0.74745509199853022</v>
      </c>
    </row>
    <row r="45" spans="1:40">
      <c r="A45" s="125" t="s">
        <v>44</v>
      </c>
      <c r="B45" s="125" t="s">
        <v>64</v>
      </c>
      <c r="C45" s="125">
        <v>7950</v>
      </c>
      <c r="D45" s="125">
        <v>21.809349999999998</v>
      </c>
      <c r="E45" s="125">
        <v>511.4</v>
      </c>
      <c r="F45" s="125">
        <v>333.15</v>
      </c>
      <c r="G45" s="125">
        <v>0.99</v>
      </c>
      <c r="H45" s="125">
        <v>1.34</v>
      </c>
      <c r="I45" s="125">
        <v>855.46</v>
      </c>
      <c r="J45" s="125">
        <v>396.45190000000002</v>
      </c>
      <c r="K45" s="125">
        <v>0.99</v>
      </c>
      <c r="L45" s="125">
        <v>1.34</v>
      </c>
      <c r="M45" s="125">
        <v>70.658422557623965</v>
      </c>
      <c r="N45" s="125">
        <v>0.75040316005076757</v>
      </c>
      <c r="O45" s="125">
        <v>1560.9342904945618</v>
      </c>
      <c r="P45" s="125">
        <v>22.091270000000002</v>
      </c>
      <c r="Q45" s="125">
        <v>23.710971673206348</v>
      </c>
      <c r="R45" s="125">
        <v>5.4315831716034584</v>
      </c>
      <c r="S45" s="125">
        <v>6.287133935443932</v>
      </c>
      <c r="T45" s="125">
        <v>3.8640090625631061</v>
      </c>
      <c r="U45" s="125">
        <v>4.472644850788817</v>
      </c>
      <c r="X45" s="125">
        <v>4.0671880190464682</v>
      </c>
      <c r="Y45" s="125">
        <v>5.7171889719498328</v>
      </c>
      <c r="Z45" s="125">
        <v>0.931689780767752</v>
      </c>
      <c r="AA45" s="125">
        <v>1</v>
      </c>
      <c r="AC45" s="125">
        <v>1.6727806022682832</v>
      </c>
      <c r="AD45" s="125">
        <v>344.06000000000006</v>
      </c>
      <c r="AE45" s="125">
        <v>22.457763725010974</v>
      </c>
      <c r="AF45" s="125">
        <v>1.5108631791010574</v>
      </c>
      <c r="AG45" s="125">
        <v>0.33812669880869944</v>
      </c>
      <c r="AH45" s="125">
        <v>287.38108967109093</v>
      </c>
      <c r="AI45" s="125">
        <v>0.56194972559853529</v>
      </c>
      <c r="AJ45" s="125">
        <v>70.658422557623965</v>
      </c>
      <c r="AK45" s="125">
        <v>2.5074157883055479</v>
      </c>
      <c r="AL45" s="125">
        <v>0.1108781559119538</v>
      </c>
      <c r="AM45" s="125">
        <v>5.4315831716034584</v>
      </c>
      <c r="AN45" s="125">
        <f t="shared" si="0"/>
        <v>0.85668507023792695</v>
      </c>
    </row>
    <row r="46" spans="1:40">
      <c r="A46" s="125" t="s">
        <v>44</v>
      </c>
      <c r="B46" s="125" t="s">
        <v>64</v>
      </c>
      <c r="C46" s="125">
        <v>7950</v>
      </c>
      <c r="D46" s="125">
        <v>21.809349999999998</v>
      </c>
      <c r="E46" s="125">
        <v>511.4</v>
      </c>
      <c r="F46" s="125">
        <v>333.15</v>
      </c>
      <c r="G46" s="125">
        <v>0.99</v>
      </c>
      <c r="H46" s="125">
        <v>1.34</v>
      </c>
      <c r="I46" s="125">
        <v>819.31680000000006</v>
      </c>
      <c r="J46" s="125">
        <v>395.44740000000002</v>
      </c>
      <c r="K46" s="125">
        <v>0.99</v>
      </c>
      <c r="L46" s="125">
        <v>1.34</v>
      </c>
      <c r="M46" s="125">
        <v>64.645349819302254</v>
      </c>
      <c r="N46" s="125">
        <v>0.69761342625709388</v>
      </c>
      <c r="O46" s="125">
        <v>1436.5916296154155</v>
      </c>
      <c r="P46" s="125">
        <v>22.222660000000001</v>
      </c>
      <c r="Q46" s="125">
        <v>23.851995008131983</v>
      </c>
      <c r="R46" s="125">
        <v>5.4638880464665593</v>
      </c>
      <c r="S46" s="125">
        <v>6.362143030323316</v>
      </c>
      <c r="T46" s="125">
        <v>4.0481776484791698</v>
      </c>
      <c r="U46" s="125">
        <v>4.7136919703978801</v>
      </c>
      <c r="X46" s="125">
        <v>4.0671880190464682</v>
      </c>
      <c r="Y46" s="125">
        <v>5.4895466379418085</v>
      </c>
      <c r="Z46" s="125">
        <v>0.931689780767752</v>
      </c>
      <c r="AA46" s="125">
        <v>1</v>
      </c>
      <c r="AC46" s="125">
        <v>1.6021055924912009</v>
      </c>
      <c r="AD46" s="125">
        <v>307.91680000000008</v>
      </c>
      <c r="AE46" s="125">
        <v>22.591333482468521</v>
      </c>
      <c r="AF46" s="125">
        <v>1.5716187992627839</v>
      </c>
      <c r="AG46" s="125">
        <v>0.36371338872436448</v>
      </c>
      <c r="AH46" s="125">
        <v>262.92479227213397</v>
      </c>
      <c r="AI46" s="125">
        <v>0.51412747804484538</v>
      </c>
      <c r="AJ46" s="125">
        <v>64.645349819302254</v>
      </c>
      <c r="AK46" s="125">
        <v>2.5223288901971759</v>
      </c>
      <c r="AL46" s="125">
        <v>0.11153761464408062</v>
      </c>
      <c r="AM46" s="125">
        <v>5.4638880464665593</v>
      </c>
      <c r="AN46" s="125">
        <f t="shared" si="0"/>
        <v>0.93015775304145321</v>
      </c>
    </row>
    <row r="47" spans="1:40">
      <c r="A47" s="125" t="s">
        <v>44</v>
      </c>
      <c r="B47" s="125" t="s">
        <v>64</v>
      </c>
      <c r="C47" s="125">
        <v>7552.5</v>
      </c>
      <c r="D47" s="125">
        <v>21.809349999999998</v>
      </c>
      <c r="E47" s="125">
        <v>511.4</v>
      </c>
      <c r="F47" s="125">
        <v>333.15</v>
      </c>
      <c r="G47" s="125">
        <v>0.99</v>
      </c>
      <c r="H47" s="125">
        <v>1.34</v>
      </c>
      <c r="I47" s="125">
        <v>1292.961</v>
      </c>
      <c r="J47" s="125">
        <v>415.94850000000002</v>
      </c>
      <c r="K47" s="125">
        <v>0.99</v>
      </c>
      <c r="L47" s="125">
        <v>1.34</v>
      </c>
      <c r="M47" s="125">
        <v>130.58380983163596</v>
      </c>
      <c r="N47" s="125">
        <v>1.0602647629995454</v>
      </c>
      <c r="O47" s="125">
        <v>1555.610974733723</v>
      </c>
      <c r="P47" s="125">
        <v>11.912739999999999</v>
      </c>
      <c r="Q47" s="125">
        <v>12.78616578812681</v>
      </c>
      <c r="R47" s="125">
        <v>2.9289867948600228</v>
      </c>
      <c r="S47" s="125">
        <v>1.8282461665445551</v>
      </c>
      <c r="T47" s="125">
        <v>1.4464134678294398</v>
      </c>
      <c r="U47" s="125">
        <v>0.90283776029245166</v>
      </c>
      <c r="X47" s="125">
        <v>4.0671880190464682</v>
      </c>
      <c r="Y47" s="125">
        <v>8.2360543958961134</v>
      </c>
      <c r="Z47" s="125">
        <v>0.931689780767752</v>
      </c>
      <c r="AA47" s="125">
        <v>0.95</v>
      </c>
      <c r="AC47" s="125">
        <v>2.528277278060227</v>
      </c>
      <c r="AD47" s="125">
        <v>781.56100000000004</v>
      </c>
      <c r="AE47" s="125">
        <v>12.110372117016684</v>
      </c>
      <c r="AF47" s="125">
        <v>1.3145949530187337</v>
      </c>
      <c r="AG47" s="125">
        <v>0.23930941792855839</v>
      </c>
      <c r="AH47" s="125">
        <v>531.10890682867227</v>
      </c>
      <c r="AI47" s="125">
        <v>1.0385391216829727</v>
      </c>
      <c r="AJ47" s="125">
        <v>144.69120202951356</v>
      </c>
      <c r="AK47" s="125">
        <v>1.3521265349605986</v>
      </c>
      <c r="AL47" s="125">
        <v>5.9791159270542987E-2</v>
      </c>
      <c r="AM47" s="125">
        <v>3.0831439945894976</v>
      </c>
      <c r="AN47" s="125">
        <f t="shared" si="0"/>
        <v>0.28040575521936595</v>
      </c>
    </row>
    <row r="48" spans="1:40">
      <c r="A48" s="125" t="s">
        <v>44</v>
      </c>
      <c r="B48" s="125" t="s">
        <v>64</v>
      </c>
      <c r="C48" s="125">
        <v>7552.5</v>
      </c>
      <c r="D48" s="125">
        <v>21.809349999999998</v>
      </c>
      <c r="E48" s="125">
        <v>511.4</v>
      </c>
      <c r="F48" s="125">
        <v>333.15</v>
      </c>
      <c r="G48" s="125">
        <v>0.99</v>
      </c>
      <c r="H48" s="125">
        <v>1.34</v>
      </c>
      <c r="I48" s="125">
        <v>1290.057</v>
      </c>
      <c r="J48" s="125">
        <v>415.28219999999999</v>
      </c>
      <c r="K48" s="125">
        <v>0.99</v>
      </c>
      <c r="L48" s="125">
        <v>1.34</v>
      </c>
      <c r="M48" s="125">
        <v>130.15902829227537</v>
      </c>
      <c r="N48" s="125">
        <v>1.0653892339492477</v>
      </c>
      <c r="O48" s="125">
        <v>1591.8045667157571</v>
      </c>
      <c r="P48" s="125">
        <v>12.22969</v>
      </c>
      <c r="Q48" s="125">
        <v>13.126354128218745</v>
      </c>
      <c r="R48" s="125">
        <v>3.0069153289026431</v>
      </c>
      <c r="S48" s="125">
        <v>1.9268248654814788</v>
      </c>
      <c r="T48" s="125">
        <v>1.4858553150386518</v>
      </c>
      <c r="U48" s="125">
        <v>0.95213288515480765</v>
      </c>
      <c r="X48" s="125">
        <v>4.0671880190464682</v>
      </c>
      <c r="Y48" s="125">
        <v>8.2307408239690325</v>
      </c>
      <c r="Z48" s="125">
        <v>0.931689780767752</v>
      </c>
      <c r="AA48" s="125">
        <v>0.95</v>
      </c>
      <c r="AC48" s="125">
        <v>2.5225987485334378</v>
      </c>
      <c r="AD48" s="125">
        <v>778.65700000000004</v>
      </c>
      <c r="AE48" s="125">
        <v>12.43258031114234</v>
      </c>
      <c r="AF48" s="125">
        <v>1.3126087310941921</v>
      </c>
      <c r="AG48" s="125">
        <v>0.23815835114368095</v>
      </c>
      <c r="AH48" s="125">
        <v>529.38124044107269</v>
      </c>
      <c r="AI48" s="125">
        <v>1.0351608143157465</v>
      </c>
      <c r="AJ48" s="125">
        <v>144.22052996374003</v>
      </c>
      <c r="AK48" s="125">
        <v>1.3881011726388963</v>
      </c>
      <c r="AL48" s="125">
        <v>6.1381961045012895E-2</v>
      </c>
      <c r="AM48" s="125">
        <v>3.1651740304238349</v>
      </c>
      <c r="AN48" s="125">
        <f t="shared" si="0"/>
        <v>0.28847152284110439</v>
      </c>
    </row>
    <row r="49" spans="1:40">
      <c r="A49" s="125" t="s">
        <v>44</v>
      </c>
      <c r="B49" s="125" t="s">
        <v>64</v>
      </c>
      <c r="C49" s="125">
        <v>7552.5</v>
      </c>
      <c r="D49" s="125">
        <v>21.809349999999998</v>
      </c>
      <c r="E49" s="125">
        <v>511.4</v>
      </c>
      <c r="F49" s="125">
        <v>333.15</v>
      </c>
      <c r="G49" s="125">
        <v>0.99</v>
      </c>
      <c r="H49" s="125">
        <v>1.34</v>
      </c>
      <c r="I49" s="125">
        <v>1289.057</v>
      </c>
      <c r="J49" s="125">
        <v>415.0813</v>
      </c>
      <c r="K49" s="125">
        <v>0.99</v>
      </c>
      <c r="L49" s="125">
        <v>1.34</v>
      </c>
      <c r="M49" s="125">
        <v>130.01733163781918</v>
      </c>
      <c r="N49" s="125">
        <v>1.0668389542501189</v>
      </c>
      <c r="O49" s="125">
        <v>1602.3882023837714</v>
      </c>
      <c r="P49" s="125">
        <v>12.32442</v>
      </c>
      <c r="Q49" s="125">
        <v>13.228029602132326</v>
      </c>
      <c r="R49" s="125">
        <v>3.0302066052233796</v>
      </c>
      <c r="S49" s="125">
        <v>1.9567904724784779</v>
      </c>
      <c r="T49" s="125">
        <v>1.4978012658297759</v>
      </c>
      <c r="U49" s="125">
        <v>0.9672222486710117</v>
      </c>
      <c r="X49" s="125">
        <v>4.0671880190464682</v>
      </c>
      <c r="Y49" s="125">
        <v>8.228341290105881</v>
      </c>
      <c r="Z49" s="125">
        <v>0.931689780767752</v>
      </c>
      <c r="AA49" s="125">
        <v>0.95</v>
      </c>
      <c r="AC49" s="125">
        <v>2.5206433320297226</v>
      </c>
      <c r="AD49" s="125">
        <v>777.65700000000004</v>
      </c>
      <c r="AE49" s="125">
        <v>12.528881879937176</v>
      </c>
      <c r="AF49" s="125">
        <v>1.3120513691686799</v>
      </c>
      <c r="AG49" s="125">
        <v>0.23783471935736533</v>
      </c>
      <c r="AH49" s="125">
        <v>528.80493350572954</v>
      </c>
      <c r="AI49" s="125">
        <v>1.0340338942231708</v>
      </c>
      <c r="AJ49" s="125">
        <v>144.0635253604645</v>
      </c>
      <c r="AK49" s="125">
        <v>1.3988532705321448</v>
      </c>
      <c r="AL49" s="125">
        <v>6.1857419799060953E-2</v>
      </c>
      <c r="AM49" s="125">
        <v>3.1896911633930314</v>
      </c>
      <c r="AN49" s="125">
        <f t="shared" si="0"/>
        <v>0.29091693918343586</v>
      </c>
    </row>
    <row r="50" spans="1:40">
      <c r="A50" s="125" t="s">
        <v>44</v>
      </c>
      <c r="B50" s="125" t="s">
        <v>64</v>
      </c>
      <c r="C50" s="125">
        <v>7552.5</v>
      </c>
      <c r="D50" s="125">
        <v>21.809349999999998</v>
      </c>
      <c r="E50" s="125">
        <v>511.4</v>
      </c>
      <c r="F50" s="125">
        <v>333.15</v>
      </c>
      <c r="G50" s="125">
        <v>0.99</v>
      </c>
      <c r="H50" s="125">
        <v>1.34</v>
      </c>
      <c r="I50" s="125">
        <v>1286.347</v>
      </c>
      <c r="J50" s="125">
        <v>414.5883</v>
      </c>
      <c r="K50" s="125">
        <v>0.99</v>
      </c>
      <c r="L50" s="125">
        <v>1.34</v>
      </c>
      <c r="M50" s="125">
        <v>129.64149328846977</v>
      </c>
      <c r="N50" s="125">
        <v>1.0701946798337558</v>
      </c>
      <c r="O50" s="125">
        <v>1627.6580231412684</v>
      </c>
      <c r="P50" s="125">
        <v>12.555070000000001</v>
      </c>
      <c r="Q50" s="125">
        <v>13.475590544369918</v>
      </c>
      <c r="R50" s="125">
        <v>3.0869165480437939</v>
      </c>
      <c r="S50" s="125">
        <v>2.030718016321956</v>
      </c>
      <c r="T50" s="125">
        <v>1.5272308872106652</v>
      </c>
      <c r="U50" s="125">
        <v>1.0046838744984639</v>
      </c>
      <c r="X50" s="125">
        <v>4.0671880190464682</v>
      </c>
      <c r="Y50" s="125">
        <v>8.2208067589116034</v>
      </c>
      <c r="Z50" s="125">
        <v>0.931689780767752</v>
      </c>
      <c r="AA50" s="125">
        <v>0.95</v>
      </c>
      <c r="AC50" s="125">
        <v>2.5153441533046541</v>
      </c>
      <c r="AD50" s="125">
        <v>774.947</v>
      </c>
      <c r="AE50" s="125">
        <v>12.763358358798454</v>
      </c>
      <c r="AF50" s="125">
        <v>1.3107688146239127</v>
      </c>
      <c r="AG50" s="125">
        <v>0.23708895966759694</v>
      </c>
      <c r="AH50" s="125">
        <v>527.27632827415732</v>
      </c>
      <c r="AI50" s="125">
        <v>1.0310448343256891</v>
      </c>
      <c r="AJ50" s="125">
        <v>143.64708397614379</v>
      </c>
      <c r="AK50" s="125">
        <v>1.4250326369322059</v>
      </c>
      <c r="AL50" s="125">
        <v>6.3015073780072109E-2</v>
      </c>
      <c r="AM50" s="125">
        <v>3.2493858400460991</v>
      </c>
      <c r="AN50" s="125">
        <f t="shared" si="0"/>
        <v>0.29694612974515372</v>
      </c>
    </row>
    <row r="51" spans="1:40">
      <c r="A51" s="125" t="s">
        <v>44</v>
      </c>
      <c r="B51" s="125" t="s">
        <v>64</v>
      </c>
      <c r="C51" s="125">
        <v>7552.5</v>
      </c>
      <c r="D51" s="125">
        <v>21.809349999999998</v>
      </c>
      <c r="E51" s="125">
        <v>511.4</v>
      </c>
      <c r="F51" s="125">
        <v>333.15</v>
      </c>
      <c r="G51" s="125">
        <v>0.99</v>
      </c>
      <c r="H51" s="125">
        <v>1.34</v>
      </c>
      <c r="I51" s="125">
        <v>1283.7820000000002</v>
      </c>
      <c r="J51" s="125">
        <v>414.1789</v>
      </c>
      <c r="K51" s="125">
        <v>0.99</v>
      </c>
      <c r="L51" s="125">
        <v>1.34</v>
      </c>
      <c r="M51" s="125">
        <v>129.29475331843176</v>
      </c>
      <c r="N51" s="125">
        <v>1.0727250464040057</v>
      </c>
      <c r="O51" s="125">
        <v>1647.7646599784239</v>
      </c>
      <c r="P51" s="125">
        <v>12.744249999999999</v>
      </c>
      <c r="Q51" s="125">
        <v>13.678640962980397</v>
      </c>
      <c r="R51" s="125">
        <v>3.1334302570521007</v>
      </c>
      <c r="S51" s="125">
        <v>2.09237686546374</v>
      </c>
      <c r="T51" s="125">
        <v>1.5518067158758468</v>
      </c>
      <c r="U51" s="125">
        <v>1.0362332031045733</v>
      </c>
      <c r="X51" s="125">
        <v>4.0671880190464682</v>
      </c>
      <c r="Y51" s="125">
        <v>8.2125240660574708</v>
      </c>
      <c r="Z51" s="125">
        <v>0.931689780767752</v>
      </c>
      <c r="AA51" s="125">
        <v>0.95</v>
      </c>
      <c r="AC51" s="125">
        <v>2.5103285099726245</v>
      </c>
      <c r="AD51" s="125">
        <v>772.38200000000018</v>
      </c>
      <c r="AE51" s="125">
        <v>12.955676851193756</v>
      </c>
      <c r="AF51" s="125">
        <v>1.3098086619187033</v>
      </c>
      <c r="AG51" s="125">
        <v>0.23652970920567357</v>
      </c>
      <c r="AH51" s="125">
        <v>525.86607162229427</v>
      </c>
      <c r="AI51" s="125">
        <v>1.0282871951941617</v>
      </c>
      <c r="AJ51" s="125">
        <v>143.26288456335931</v>
      </c>
      <c r="AK51" s="125">
        <v>1.4465050520007665</v>
      </c>
      <c r="AL51" s="125">
        <v>6.3964585941909041E-2</v>
      </c>
      <c r="AM51" s="125">
        <v>3.2983476390022113</v>
      </c>
      <c r="AN51" s="125">
        <f t="shared" si="0"/>
        <v>0.30198553675076417</v>
      </c>
    </row>
    <row r="52" spans="1:40">
      <c r="A52" s="125" t="s">
        <v>44</v>
      </c>
      <c r="B52" s="125" t="s">
        <v>64</v>
      </c>
      <c r="C52" s="125">
        <v>7552.5</v>
      </c>
      <c r="D52" s="125">
        <v>21.809349999999998</v>
      </c>
      <c r="E52" s="125">
        <v>511.4</v>
      </c>
      <c r="F52" s="125">
        <v>333.15</v>
      </c>
      <c r="G52" s="125">
        <v>0.99</v>
      </c>
      <c r="H52" s="125">
        <v>1.34</v>
      </c>
      <c r="I52" s="125">
        <v>1270.855</v>
      </c>
      <c r="J52" s="125">
        <v>412.541</v>
      </c>
      <c r="K52" s="125">
        <v>0.99</v>
      </c>
      <c r="L52" s="125">
        <v>1.34</v>
      </c>
      <c r="M52" s="125">
        <v>127.61090364284843</v>
      </c>
      <c r="N52" s="125">
        <v>1.0805975383436774</v>
      </c>
      <c r="O52" s="125">
        <v>1718.8639993806019</v>
      </c>
      <c r="P52" s="125">
        <v>13.469569999999999</v>
      </c>
      <c r="Q52" s="125">
        <v>14.457140432409274</v>
      </c>
      <c r="R52" s="125">
        <v>3.3117647713660094</v>
      </c>
      <c r="S52" s="125">
        <v>2.3373234063847534</v>
      </c>
      <c r="T52" s="125">
        <v>1.6502566944451149</v>
      </c>
      <c r="U52" s="125">
        <v>1.1646912944480414</v>
      </c>
      <c r="X52" s="125">
        <v>4.0671880190464682</v>
      </c>
      <c r="Y52" s="125">
        <v>8.162105959236257</v>
      </c>
      <c r="Z52" s="125">
        <v>0.931689780767752</v>
      </c>
      <c r="AA52" s="125">
        <v>0.95</v>
      </c>
      <c r="AC52" s="125">
        <v>2.4850508408290968</v>
      </c>
      <c r="AD52" s="125">
        <v>759.45500000000004</v>
      </c>
      <c r="AE52" s="125">
        <v>13.693029895406468</v>
      </c>
      <c r="AF52" s="125">
        <v>1.3068590115298417</v>
      </c>
      <c r="AG52" s="125">
        <v>0.23480651609895159</v>
      </c>
      <c r="AH52" s="125">
        <v>519.01753839588639</v>
      </c>
      <c r="AI52" s="125">
        <v>1.0148954602970013</v>
      </c>
      <c r="AJ52" s="125">
        <v>141.39712314997055</v>
      </c>
      <c r="AK52" s="125">
        <v>1.5288307317635768</v>
      </c>
      <c r="AL52" s="125">
        <v>6.7605035044475723E-2</v>
      </c>
      <c r="AM52" s="125">
        <v>3.4860681803852733</v>
      </c>
      <c r="AN52" s="125">
        <f t="shared" si="0"/>
        <v>0.32223417821704409</v>
      </c>
    </row>
    <row r="53" spans="1:40">
      <c r="A53" s="125" t="s">
        <v>44</v>
      </c>
      <c r="B53" s="125" t="s">
        <v>64</v>
      </c>
      <c r="C53" s="125">
        <v>7552.5</v>
      </c>
      <c r="D53" s="125">
        <v>21.809349999999998</v>
      </c>
      <c r="E53" s="125">
        <v>511.4</v>
      </c>
      <c r="F53" s="125">
        <v>333.15</v>
      </c>
      <c r="G53" s="125">
        <v>0.99</v>
      </c>
      <c r="H53" s="125">
        <v>1.34</v>
      </c>
      <c r="I53" s="125">
        <v>1249.0059999999999</v>
      </c>
      <c r="J53" s="125">
        <v>410.45319999999998</v>
      </c>
      <c r="K53" s="125">
        <v>0.99</v>
      </c>
      <c r="L53" s="125">
        <v>1.34</v>
      </c>
      <c r="M53" s="125">
        <v>124.85150608083153</v>
      </c>
      <c r="N53" s="125">
        <v>1.0857848450211103</v>
      </c>
      <c r="O53" s="125">
        <v>1799.1264333205729</v>
      </c>
      <c r="P53" s="125">
        <v>14.410130000000001</v>
      </c>
      <c r="Q53" s="125">
        <v>15.466661003972202</v>
      </c>
      <c r="R53" s="125">
        <v>3.5430203699750233</v>
      </c>
      <c r="S53" s="125">
        <v>2.6751438643856864</v>
      </c>
      <c r="T53" s="125">
        <v>1.7872844487469937</v>
      </c>
      <c r="U53" s="125">
        <v>1.3494822292007254</v>
      </c>
      <c r="X53" s="125">
        <v>4.0671880190464682</v>
      </c>
      <c r="Y53" s="125">
        <v>8.0625834405387842</v>
      </c>
      <c r="Z53" s="125">
        <v>0.931689780767752</v>
      </c>
      <c r="AA53" s="125">
        <v>0.95</v>
      </c>
      <c r="AC53" s="125">
        <v>2.442326945639421</v>
      </c>
      <c r="AD53" s="125">
        <v>737.60599999999988</v>
      </c>
      <c r="AE53" s="125">
        <v>14.649193766890379</v>
      </c>
      <c r="AF53" s="125">
        <v>1.3049459472903244</v>
      </c>
      <c r="AG53" s="125">
        <v>0.23368473454669464</v>
      </c>
      <c r="AH53" s="125">
        <v>507.79454969186531</v>
      </c>
      <c r="AI53" s="125">
        <v>0.99294984296414812</v>
      </c>
      <c r="AJ53" s="125">
        <v>138.33961892612913</v>
      </c>
      <c r="AK53" s="125">
        <v>1.6355867034143088</v>
      </c>
      <c r="AL53" s="125">
        <v>7.2325793892860063E-2</v>
      </c>
      <c r="AM53" s="125">
        <v>3.7294951262894984</v>
      </c>
      <c r="AN53" s="125">
        <f t="shared" si="0"/>
        <v>0.35049225871373185</v>
      </c>
    </row>
    <row r="54" spans="1:40">
      <c r="A54" s="125" t="s">
        <v>44</v>
      </c>
      <c r="B54" s="125" t="s">
        <v>64</v>
      </c>
      <c r="C54" s="125">
        <v>7552.5</v>
      </c>
      <c r="D54" s="125">
        <v>21.809349999999998</v>
      </c>
      <c r="E54" s="125">
        <v>511.4</v>
      </c>
      <c r="F54" s="125">
        <v>333.15</v>
      </c>
      <c r="G54" s="125">
        <v>0.99</v>
      </c>
      <c r="H54" s="125">
        <v>1.34</v>
      </c>
      <c r="I54" s="125">
        <v>1232.521</v>
      </c>
      <c r="J54" s="125">
        <v>409.16590000000002</v>
      </c>
      <c r="K54" s="125">
        <v>0.99</v>
      </c>
      <c r="L54" s="125">
        <v>1.34</v>
      </c>
      <c r="M54" s="125">
        <v>122.79414394870629</v>
      </c>
      <c r="N54" s="125">
        <v>1.0859771220159973</v>
      </c>
      <c r="O54" s="125">
        <v>1839.511533716397</v>
      </c>
      <c r="P54" s="125">
        <v>14.980449999999999</v>
      </c>
      <c r="Q54" s="125">
        <v>16.078796085597794</v>
      </c>
      <c r="R54" s="125">
        <v>3.6832450159292343</v>
      </c>
      <c r="S54" s="125">
        <v>2.8910863536145923</v>
      </c>
      <c r="T54" s="125">
        <v>1.8769669287471074</v>
      </c>
      <c r="U54" s="125">
        <v>1.4732860427200298</v>
      </c>
      <c r="X54" s="125">
        <v>4.0671880190464682</v>
      </c>
      <c r="Y54" s="125">
        <v>7.9812008248859172</v>
      </c>
      <c r="Z54" s="125">
        <v>0.931689780767752</v>
      </c>
      <c r="AA54" s="125">
        <v>0.95</v>
      </c>
      <c r="AC54" s="125">
        <v>2.4100919045756748</v>
      </c>
      <c r="AD54" s="125">
        <v>721.12099999999998</v>
      </c>
      <c r="AE54" s="125">
        <v>15.228975364220375</v>
      </c>
      <c r="AF54" s="125">
        <v>1.3048754944363163</v>
      </c>
      <c r="AG54" s="125">
        <v>0.23364335964330243</v>
      </c>
      <c r="AH54" s="125">
        <v>499.42687107724566</v>
      </c>
      <c r="AI54" s="125">
        <v>0.97658754610333531</v>
      </c>
      <c r="AJ54" s="125">
        <v>136.05999329496544</v>
      </c>
      <c r="AK54" s="125">
        <v>1.7003194857480732</v>
      </c>
      <c r="AL54" s="125">
        <v>7.5188283459087138E-2</v>
      </c>
      <c r="AM54" s="125">
        <v>3.8771000167676153</v>
      </c>
      <c r="AN54" s="125">
        <f t="shared" si="0"/>
        <v>0.36908332257999743</v>
      </c>
    </row>
    <row r="55" spans="1:40">
      <c r="A55" s="125" t="s">
        <v>44</v>
      </c>
      <c r="B55" s="125" t="s">
        <v>64</v>
      </c>
      <c r="C55" s="125">
        <v>7552.5</v>
      </c>
      <c r="D55" s="125">
        <v>21.809349999999998</v>
      </c>
      <c r="E55" s="125">
        <v>511.4</v>
      </c>
      <c r="F55" s="125">
        <v>333.15</v>
      </c>
      <c r="G55" s="125">
        <v>0.99</v>
      </c>
      <c r="H55" s="125">
        <v>1.34</v>
      </c>
      <c r="I55" s="125">
        <v>1204.7059999999999</v>
      </c>
      <c r="J55" s="125">
        <v>407.24430000000001</v>
      </c>
      <c r="K55" s="125">
        <v>0.99</v>
      </c>
      <c r="L55" s="125">
        <v>1.34</v>
      </c>
      <c r="M55" s="125">
        <v>119.31710600414304</v>
      </c>
      <c r="N55" s="125">
        <v>1.0825933969276842</v>
      </c>
      <c r="O55" s="125">
        <v>1879.4019181451783</v>
      </c>
      <c r="P55" s="125">
        <v>15.75132</v>
      </c>
      <c r="Q55" s="125">
        <v>16.906185218668217</v>
      </c>
      <c r="R55" s="125">
        <v>3.8727789141385252</v>
      </c>
      <c r="S55" s="125">
        <v>3.1962832154665222</v>
      </c>
      <c r="T55" s="125">
        <v>2.0096366954210794</v>
      </c>
      <c r="U55" s="125">
        <v>1.6585940434941768</v>
      </c>
      <c r="X55" s="125">
        <v>4.0671880190464682</v>
      </c>
      <c r="Y55" s="125">
        <v>7.837894299944411</v>
      </c>
      <c r="Z55" s="125">
        <v>0.931689780767752</v>
      </c>
      <c r="AA55" s="125">
        <v>0.95</v>
      </c>
      <c r="AC55" s="125">
        <v>2.3557019945248339</v>
      </c>
      <c r="AD55" s="125">
        <v>693.30599999999993</v>
      </c>
      <c r="AE55" s="125">
        <v>16.012634082017009</v>
      </c>
      <c r="AF55" s="125">
        <v>1.3061201102982689</v>
      </c>
      <c r="AG55" s="125">
        <v>0.23437362910549056</v>
      </c>
      <c r="AH55" s="125">
        <v>485.28510400734797</v>
      </c>
      <c r="AI55" s="125">
        <v>0.94893450138315993</v>
      </c>
      <c r="AJ55" s="125">
        <v>132.20731967218066</v>
      </c>
      <c r="AK55" s="125">
        <v>1.7878152073037421</v>
      </c>
      <c r="AL55" s="125">
        <v>7.9057352283462015E-2</v>
      </c>
      <c r="AM55" s="125">
        <v>4.0766093833037109</v>
      </c>
      <c r="AN55" s="125">
        <f t="shared" si="0"/>
        <v>0.39690424568694033</v>
      </c>
    </row>
    <row r="56" spans="1:40">
      <c r="A56" s="125" t="s">
        <v>44</v>
      </c>
      <c r="B56" s="125" t="s">
        <v>64</v>
      </c>
      <c r="C56" s="125">
        <v>7552.5</v>
      </c>
      <c r="D56" s="125">
        <v>21.809349999999998</v>
      </c>
      <c r="E56" s="125">
        <v>511.4</v>
      </c>
      <c r="F56" s="125">
        <v>333.15</v>
      </c>
      <c r="G56" s="125">
        <v>0.99</v>
      </c>
      <c r="H56" s="125">
        <v>1.34</v>
      </c>
      <c r="I56" s="125">
        <v>1191.415</v>
      </c>
      <c r="J56" s="125">
        <v>406.39069999999998</v>
      </c>
      <c r="K56" s="125">
        <v>0.99</v>
      </c>
      <c r="L56" s="125">
        <v>1.34</v>
      </c>
      <c r="M56" s="125">
        <v>117.64465458240051</v>
      </c>
      <c r="N56" s="125">
        <v>1.0798593043757478</v>
      </c>
      <c r="O56" s="125">
        <v>1892.0189808749103</v>
      </c>
      <c r="P56" s="125">
        <v>16.08249</v>
      </c>
      <c r="Q56" s="125">
        <v>17.261636149692812</v>
      </c>
      <c r="R56" s="125">
        <v>3.9542037212654995</v>
      </c>
      <c r="S56" s="125">
        <v>3.3320992208627533</v>
      </c>
      <c r="T56" s="125">
        <v>2.0704304383605376</v>
      </c>
      <c r="U56" s="125">
        <v>1.7446950478069365</v>
      </c>
      <c r="X56" s="125">
        <v>4.0671880190464682</v>
      </c>
      <c r="Y56" s="125">
        <v>7.7677036146816203</v>
      </c>
      <c r="Z56" s="125">
        <v>0.931689780767752</v>
      </c>
      <c r="AA56" s="125">
        <v>0.95</v>
      </c>
      <c r="AC56" s="125">
        <v>2.329712553773954</v>
      </c>
      <c r="AD56" s="125">
        <v>680.01499999999999</v>
      </c>
      <c r="AE56" s="125">
        <v>16.349298185656675</v>
      </c>
      <c r="AF56" s="125">
        <v>1.3071332229793333</v>
      </c>
      <c r="AG56" s="125">
        <v>0.23496703899797466</v>
      </c>
      <c r="AH56" s="125">
        <v>478.48292962239958</v>
      </c>
      <c r="AI56" s="125">
        <v>0.93563341732968242</v>
      </c>
      <c r="AJ56" s="125">
        <v>130.35418790293684</v>
      </c>
      <c r="AK56" s="125">
        <v>1.8254038514429494</v>
      </c>
      <c r="AL56" s="125">
        <v>8.0719525571523842E-2</v>
      </c>
      <c r="AM56" s="125">
        <v>4.1623197065952624</v>
      </c>
      <c r="AN56" s="125">
        <f t="shared" si="0"/>
        <v>0.40977932278169921</v>
      </c>
    </row>
    <row r="57" spans="1:40">
      <c r="A57" s="125" t="s">
        <v>44</v>
      </c>
      <c r="B57" s="125" t="s">
        <v>64</v>
      </c>
      <c r="C57" s="125">
        <v>7552.5</v>
      </c>
      <c r="D57" s="125">
        <v>21.809349999999998</v>
      </c>
      <c r="E57" s="125">
        <v>511.4</v>
      </c>
      <c r="F57" s="125">
        <v>333.15</v>
      </c>
      <c r="G57" s="125">
        <v>0.99</v>
      </c>
      <c r="H57" s="125">
        <v>1.34</v>
      </c>
      <c r="I57" s="125">
        <v>1166.1970000000001</v>
      </c>
      <c r="J57" s="125">
        <v>404.8159</v>
      </c>
      <c r="K57" s="125">
        <v>0.99</v>
      </c>
      <c r="L57" s="125">
        <v>1.34</v>
      </c>
      <c r="M57" s="125">
        <v>114.43908586425978</v>
      </c>
      <c r="N57" s="125">
        <v>1.0735178817142328</v>
      </c>
      <c r="O57" s="125">
        <v>1908.9538137382826</v>
      </c>
      <c r="P57" s="125">
        <v>16.680959999999999</v>
      </c>
      <c r="Q57" s="125">
        <v>17.903985150780745</v>
      </c>
      <c r="R57" s="125">
        <v>4.1013496110540686</v>
      </c>
      <c r="S57" s="125">
        <v>3.5847050434408914</v>
      </c>
      <c r="T57" s="125">
        <v>2.185412081355627</v>
      </c>
      <c r="U57" s="125">
        <v>1.9101170231666198</v>
      </c>
      <c r="X57" s="125">
        <v>4.0671880190464682</v>
      </c>
      <c r="Y57" s="125">
        <v>7.6328671111091682</v>
      </c>
      <c r="Z57" s="125">
        <v>0.931689780767752</v>
      </c>
      <c r="AA57" s="125">
        <v>0.95</v>
      </c>
      <c r="AC57" s="125">
        <v>2.2804008603832622</v>
      </c>
      <c r="AD57" s="125">
        <v>654.79700000000014</v>
      </c>
      <c r="AE57" s="125">
        <v>16.957696790920529</v>
      </c>
      <c r="AF57" s="125">
        <v>1.3095090384983754</v>
      </c>
      <c r="AG57" s="125">
        <v>0.23635502268338057</v>
      </c>
      <c r="AH57" s="125">
        <v>465.44527893774745</v>
      </c>
      <c r="AI57" s="125">
        <v>0.91013938001123873</v>
      </c>
      <c r="AJ57" s="125">
        <v>126.80231120693605</v>
      </c>
      <c r="AK57" s="125">
        <v>1.8933317309549564</v>
      </c>
      <c r="AL57" s="125">
        <v>8.3723302627737764E-2</v>
      </c>
      <c r="AM57" s="125">
        <v>4.3172101168990196</v>
      </c>
      <c r="AN57" s="125">
        <f t="shared" si="0"/>
        <v>0.43439438997367386</v>
      </c>
    </row>
    <row r="58" spans="1:40">
      <c r="A58" s="125" t="s">
        <v>44</v>
      </c>
      <c r="B58" s="125" t="s">
        <v>64</v>
      </c>
      <c r="C58" s="125">
        <v>7552.5</v>
      </c>
      <c r="D58" s="125">
        <v>21.809349999999998</v>
      </c>
      <c r="E58" s="125">
        <v>511.4</v>
      </c>
      <c r="F58" s="125">
        <v>333.15</v>
      </c>
      <c r="G58" s="125">
        <v>0.99</v>
      </c>
      <c r="H58" s="125">
        <v>1.34</v>
      </c>
      <c r="I58" s="125">
        <v>1151.048</v>
      </c>
      <c r="J58" s="125">
        <v>403.92509999999999</v>
      </c>
      <c r="K58" s="125">
        <v>0.99</v>
      </c>
      <c r="L58" s="125">
        <v>1.34</v>
      </c>
      <c r="M58" s="125">
        <v>112.49596353567011</v>
      </c>
      <c r="N58" s="125">
        <v>1.0685722957571409</v>
      </c>
      <c r="O58" s="125">
        <v>1913.6024630867983</v>
      </c>
      <c r="P58" s="125">
        <v>17.01041</v>
      </c>
      <c r="Q58" s="125">
        <v>18.257589973760041</v>
      </c>
      <c r="R58" s="125">
        <v>4.1823515215773099</v>
      </c>
      <c r="S58" s="125">
        <v>3.7276996074836908</v>
      </c>
      <c r="T58" s="125">
        <v>2.2529359475337385</v>
      </c>
      <c r="U58" s="125">
        <v>2.0080254861361189</v>
      </c>
      <c r="X58" s="125">
        <v>4.0671880190464682</v>
      </c>
      <c r="Y58" s="125">
        <v>7.5503300564852225</v>
      </c>
      <c r="Z58" s="125">
        <v>0.931689780767752</v>
      </c>
      <c r="AA58" s="125">
        <v>0.95</v>
      </c>
      <c r="AC58" s="125">
        <v>2.2507782557684788</v>
      </c>
      <c r="AD58" s="125">
        <v>639.64800000000002</v>
      </c>
      <c r="AE58" s="125">
        <v>17.292612359794791</v>
      </c>
      <c r="AF58" s="125">
        <v>1.311387568964651</v>
      </c>
      <c r="AG58" s="125">
        <v>0.23744892534744211</v>
      </c>
      <c r="AH58" s="125">
        <v>457.54223508336588</v>
      </c>
      <c r="AI58" s="125">
        <v>0.89468563762879516</v>
      </c>
      <c r="AJ58" s="125">
        <v>124.64926707553475</v>
      </c>
      <c r="AK58" s="125">
        <v>1.9307251506839835</v>
      </c>
      <c r="AL58" s="125">
        <v>8.5376843074493114E-2</v>
      </c>
      <c r="AM58" s="125">
        <v>4.4024752858708531</v>
      </c>
      <c r="AN58" s="125">
        <f t="shared" si="0"/>
        <v>0.44902406169455478</v>
      </c>
    </row>
    <row r="59" spans="1:40">
      <c r="A59" s="125" t="s">
        <v>44</v>
      </c>
      <c r="B59" s="125" t="s">
        <v>64</v>
      </c>
      <c r="C59" s="125">
        <v>7552.5</v>
      </c>
      <c r="D59" s="125">
        <v>21.809349999999998</v>
      </c>
      <c r="E59" s="125">
        <v>511.4</v>
      </c>
      <c r="F59" s="125">
        <v>333.15</v>
      </c>
      <c r="G59" s="125">
        <v>0.99</v>
      </c>
      <c r="H59" s="125">
        <v>1.34</v>
      </c>
      <c r="I59" s="125">
        <v>1106.5039999999999</v>
      </c>
      <c r="J59" s="125">
        <v>401.5351</v>
      </c>
      <c r="K59" s="125">
        <v>0.99</v>
      </c>
      <c r="L59" s="125">
        <v>1.34</v>
      </c>
      <c r="M59" s="125">
        <v>106.69611018950243</v>
      </c>
      <c r="N59" s="125">
        <v>1.0489011522286855</v>
      </c>
      <c r="O59" s="125">
        <v>1905.7077597835182</v>
      </c>
      <c r="P59" s="125">
        <v>17.861080000000001</v>
      </c>
      <c r="Q59" s="125">
        <v>19.170629933583378</v>
      </c>
      <c r="R59" s="125">
        <v>4.3915058552388837</v>
      </c>
      <c r="S59" s="125">
        <v>4.109857617249693</v>
      </c>
      <c r="T59" s="125">
        <v>2.4462728702256791</v>
      </c>
      <c r="U59" s="125">
        <v>2.2893817111901313</v>
      </c>
      <c r="X59" s="125">
        <v>4.0671880190464682</v>
      </c>
      <c r="Y59" s="125">
        <v>7.3013441049003829</v>
      </c>
      <c r="Z59" s="125">
        <v>0.931689780767752</v>
      </c>
      <c r="AA59" s="125">
        <v>0.95</v>
      </c>
      <c r="AC59" s="125">
        <v>2.1636761830269848</v>
      </c>
      <c r="AD59" s="125">
        <v>595.10399999999993</v>
      </c>
      <c r="AE59" s="125">
        <v>18.157394957986529</v>
      </c>
      <c r="AF59" s="125">
        <v>1.3190907658078592</v>
      </c>
      <c r="AG59" s="125">
        <v>0.24190205411106522</v>
      </c>
      <c r="AH59" s="125">
        <v>433.95314104160616</v>
      </c>
      <c r="AI59" s="125">
        <v>0.84855913383184622</v>
      </c>
      <c r="AJ59" s="125">
        <v>118.22283677507197</v>
      </c>
      <c r="AK59" s="125">
        <v>2.0272783768515099</v>
      </c>
      <c r="AL59" s="125">
        <v>8.9646435582738326E-2</v>
      </c>
      <c r="AM59" s="125">
        <v>4.6226377423567202</v>
      </c>
      <c r="AN59" s="125">
        <f t="shared" si="0"/>
        <v>0.49178396739071062</v>
      </c>
    </row>
    <row r="60" spans="1:40">
      <c r="A60" s="125" t="s">
        <v>44</v>
      </c>
      <c r="B60" s="125" t="s">
        <v>64</v>
      </c>
      <c r="C60" s="125">
        <v>7552.5</v>
      </c>
      <c r="D60" s="125">
        <v>21.809349999999998</v>
      </c>
      <c r="E60" s="125">
        <v>511.4</v>
      </c>
      <c r="F60" s="125">
        <v>333.15</v>
      </c>
      <c r="G60" s="125">
        <v>0.99</v>
      </c>
      <c r="H60" s="125">
        <v>1.34</v>
      </c>
      <c r="I60" s="125">
        <v>1083.7090000000001</v>
      </c>
      <c r="J60" s="125">
        <v>400.37610000000001</v>
      </c>
      <c r="K60" s="125">
        <v>0.99</v>
      </c>
      <c r="L60" s="125">
        <v>1.34</v>
      </c>
      <c r="M60" s="125">
        <v>103.66389737358007</v>
      </c>
      <c r="N60" s="125">
        <v>1.0366617573229626</v>
      </c>
      <c r="O60" s="125">
        <v>1892.2102912071164</v>
      </c>
      <c r="P60" s="125">
        <v>18.253319999999999</v>
      </c>
      <c r="Q60" s="125">
        <v>19.591628433402466</v>
      </c>
      <c r="R60" s="125">
        <v>4.4879459504995785</v>
      </c>
      <c r="S60" s="125">
        <v>4.2923495325151073</v>
      </c>
      <c r="T60" s="125">
        <v>2.5452121561047862</v>
      </c>
      <c r="U60" s="125">
        <v>2.4342851560393748</v>
      </c>
      <c r="X60" s="125">
        <v>4.0671880190464682</v>
      </c>
      <c r="Y60" s="125">
        <v>7.1716300569360127</v>
      </c>
      <c r="Z60" s="125">
        <v>0.931689780767752</v>
      </c>
      <c r="AA60" s="125">
        <v>0.95</v>
      </c>
      <c r="AC60" s="125">
        <v>2.1191024638247948</v>
      </c>
      <c r="AD60" s="125">
        <v>572.30900000000008</v>
      </c>
      <c r="AE60" s="125">
        <v>18.556142211697981</v>
      </c>
      <c r="AF60" s="125">
        <v>1.3240790480657196</v>
      </c>
      <c r="AG60" s="125">
        <v>0.24475808188276249</v>
      </c>
      <c r="AH60" s="125">
        <v>421.62056140548748</v>
      </c>
      <c r="AI60" s="125">
        <v>0.82444380407799667</v>
      </c>
      <c r="AJ60" s="125">
        <v>114.86304418125216</v>
      </c>
      <c r="AK60" s="125">
        <v>2.0717986225777607</v>
      </c>
      <c r="AL60" s="125">
        <v>9.1615124928117936E-2</v>
      </c>
      <c r="AM60" s="125">
        <v>4.7241536321048194</v>
      </c>
      <c r="AN60" s="125">
        <f t="shared" si="0"/>
        <v>0.51429565360953144</v>
      </c>
    </row>
    <row r="61" spans="1:40">
      <c r="A61" s="125" t="s">
        <v>44</v>
      </c>
      <c r="B61" s="125" t="s">
        <v>64</v>
      </c>
      <c r="C61" s="125">
        <v>7552.5</v>
      </c>
      <c r="D61" s="125">
        <v>21.809349999999998</v>
      </c>
      <c r="E61" s="125">
        <v>511.4</v>
      </c>
      <c r="F61" s="125">
        <v>333.15</v>
      </c>
      <c r="G61" s="125">
        <v>0.99</v>
      </c>
      <c r="H61" s="125">
        <v>1.34</v>
      </c>
      <c r="I61" s="125">
        <v>1027.3419999999999</v>
      </c>
      <c r="J61" s="125">
        <v>397.8279</v>
      </c>
      <c r="K61" s="125">
        <v>0.99</v>
      </c>
      <c r="L61" s="125">
        <v>1.34</v>
      </c>
      <c r="M61" s="125">
        <v>95.97464761003782</v>
      </c>
      <c r="N61" s="125">
        <v>0.99758079063649197</v>
      </c>
      <c r="O61" s="125">
        <v>1825.8236156263117</v>
      </c>
      <c r="P61" s="125">
        <v>19.02402</v>
      </c>
      <c r="Q61" s="125">
        <v>20.418835102305618</v>
      </c>
      <c r="R61" s="125">
        <v>4.6774380507887328</v>
      </c>
      <c r="S61" s="125">
        <v>4.6624687359277637</v>
      </c>
      <c r="T61" s="125">
        <v>2.7804119364140862</v>
      </c>
      <c r="U61" s="125">
        <v>2.7715137187856644</v>
      </c>
      <c r="X61" s="125">
        <v>4.0671880190464682</v>
      </c>
      <c r="Y61" s="125">
        <v>6.8421588005895959</v>
      </c>
      <c r="Z61" s="125">
        <v>0.931689780767752</v>
      </c>
      <c r="AA61" s="125">
        <v>0.95</v>
      </c>
      <c r="AC61" s="125">
        <v>2.0088815017598747</v>
      </c>
      <c r="AD61" s="125">
        <v>515.94199999999989</v>
      </c>
      <c r="AE61" s="125">
        <v>19.339628109198038</v>
      </c>
      <c r="AF61" s="125">
        <v>1.3411057764262915</v>
      </c>
      <c r="AG61" s="125">
        <v>0.25434666110771093</v>
      </c>
      <c r="AH61" s="125">
        <v>390.34693689175259</v>
      </c>
      <c r="AI61" s="125">
        <v>0.76329084257284441</v>
      </c>
      <c r="AJ61" s="125">
        <v>106.34309984491728</v>
      </c>
      <c r="AK61" s="125">
        <v>2.1592750486975398</v>
      </c>
      <c r="AL61" s="125">
        <v>9.5483340506549733E-2</v>
      </c>
      <c r="AM61" s="125">
        <v>4.9236190008302456</v>
      </c>
      <c r="AN61" s="125">
        <f t="shared" si="0"/>
        <v>0.57028529383872162</v>
      </c>
    </row>
    <row r="62" spans="1:40">
      <c r="A62" s="125" t="s">
        <v>44</v>
      </c>
      <c r="B62" s="125" t="s">
        <v>64</v>
      </c>
      <c r="C62" s="125">
        <v>7552.5</v>
      </c>
      <c r="D62" s="125">
        <v>21.809349999999998</v>
      </c>
      <c r="E62" s="125">
        <v>511.4</v>
      </c>
      <c r="F62" s="125">
        <v>333.15</v>
      </c>
      <c r="G62" s="125">
        <v>0.99</v>
      </c>
      <c r="H62" s="125">
        <v>1.34</v>
      </c>
      <c r="I62" s="125">
        <v>1004.539</v>
      </c>
      <c r="J62" s="125">
        <v>396.8657</v>
      </c>
      <c r="K62" s="125">
        <v>0.99</v>
      </c>
      <c r="L62" s="125">
        <v>1.34</v>
      </c>
      <c r="M62" s="125">
        <v>92.770751652180167</v>
      </c>
      <c r="N62" s="125">
        <v>0.978840834834665</v>
      </c>
      <c r="O62" s="125">
        <v>1789.1396080632858</v>
      </c>
      <c r="P62" s="125">
        <v>19.285599999999999</v>
      </c>
      <c r="Q62" s="125">
        <v>20.699593789799696</v>
      </c>
      <c r="R62" s="125">
        <v>4.7417527563727955</v>
      </c>
      <c r="S62" s="125">
        <v>4.7915679875119306</v>
      </c>
      <c r="T62" s="125">
        <v>2.8756536316356036</v>
      </c>
      <c r="U62" s="125">
        <v>2.9058642642215169</v>
      </c>
      <c r="X62" s="125">
        <v>4.0671880190464682</v>
      </c>
      <c r="Y62" s="125">
        <v>6.7065100566478195</v>
      </c>
      <c r="Z62" s="125">
        <v>0.931689780767752</v>
      </c>
      <c r="AA62" s="125">
        <v>0.95</v>
      </c>
      <c r="AC62" s="125">
        <v>1.9642921392256552</v>
      </c>
      <c r="AD62" s="125">
        <v>493.13900000000001</v>
      </c>
      <c r="AE62" s="125">
        <v>19.605547716137259</v>
      </c>
      <c r="AF62" s="125">
        <v>1.3499214204751686</v>
      </c>
      <c r="AG62" s="125">
        <v>0.25921614041208207</v>
      </c>
      <c r="AH62" s="125">
        <v>377.31608963768258</v>
      </c>
      <c r="AI62" s="125">
        <v>0.73781010879484277</v>
      </c>
      <c r="AJ62" s="125">
        <v>102.79307662291433</v>
      </c>
      <c r="AK62" s="125">
        <v>2.1889650494039254</v>
      </c>
      <c r="AL62" s="125">
        <v>9.6796235058263985E-2</v>
      </c>
      <c r="AM62" s="125">
        <v>4.9913186909187326</v>
      </c>
      <c r="AN62" s="125">
        <f t="shared" si="0"/>
        <v>0.59420689302426088</v>
      </c>
    </row>
    <row r="63" spans="1:40">
      <c r="A63" s="125" t="s">
        <v>44</v>
      </c>
      <c r="B63" s="125" t="s">
        <v>64</v>
      </c>
      <c r="C63" s="125">
        <v>7552.5</v>
      </c>
      <c r="D63" s="125">
        <v>21.809349999999998</v>
      </c>
      <c r="E63" s="125">
        <v>511.4</v>
      </c>
      <c r="F63" s="125">
        <v>333.15</v>
      </c>
      <c r="G63" s="125">
        <v>0.99</v>
      </c>
      <c r="H63" s="125">
        <v>1.34</v>
      </c>
      <c r="I63" s="125">
        <v>955.1869999999999</v>
      </c>
      <c r="J63" s="125">
        <v>394.9348</v>
      </c>
      <c r="K63" s="125">
        <v>0.99</v>
      </c>
      <c r="L63" s="125">
        <v>1.34</v>
      </c>
      <c r="M63" s="125">
        <v>85.633299879887815</v>
      </c>
      <c r="N63" s="125">
        <v>0.93176951381437878</v>
      </c>
      <c r="O63" s="125">
        <v>1693.5894673835137</v>
      </c>
      <c r="P63" s="125">
        <v>19.777229999999999</v>
      </c>
      <c r="Q63" s="125">
        <v>21.227269428352773</v>
      </c>
      <c r="R63" s="125">
        <v>4.8626298827062024</v>
      </c>
      <c r="S63" s="125">
        <v>5.0389758088326921</v>
      </c>
      <c r="T63" s="125">
        <v>3.0862359175059875</v>
      </c>
      <c r="U63" s="125">
        <v>3.1981599471453852</v>
      </c>
      <c r="X63" s="125">
        <v>4.0671880190464682</v>
      </c>
      <c r="Y63" s="125">
        <v>6.4082042101247207</v>
      </c>
      <c r="Z63" s="125">
        <v>0.931689780767752</v>
      </c>
      <c r="AA63" s="125">
        <v>0.95</v>
      </c>
      <c r="AC63" s="125">
        <v>1.8677884239342979</v>
      </c>
      <c r="AD63" s="125">
        <v>443.78699999999992</v>
      </c>
      <c r="AE63" s="125">
        <v>20.105333847949836</v>
      </c>
      <c r="AF63" s="125">
        <v>1.3742139518265626</v>
      </c>
      <c r="AG63" s="125">
        <v>0.2723112738952832</v>
      </c>
      <c r="AH63" s="125">
        <v>348.28673130289309</v>
      </c>
      <c r="AI63" s="125">
        <v>0.68104562241473032</v>
      </c>
      <c r="AJ63" s="125">
        <v>94.884542803199807</v>
      </c>
      <c r="AK63" s="125">
        <v>2.2447663149719377</v>
      </c>
      <c r="AL63" s="125">
        <v>9.9263772134719708E-2</v>
      </c>
      <c r="AM63" s="125">
        <v>5.1185577712696873</v>
      </c>
      <c r="AN63" s="125">
        <f t="shared" si="0"/>
        <v>0.65033937627756022</v>
      </c>
    </row>
    <row r="64" spans="1:40">
      <c r="A64" s="125" t="s">
        <v>44</v>
      </c>
      <c r="B64" s="125" t="s">
        <v>64</v>
      </c>
      <c r="C64" s="125">
        <v>7552.5</v>
      </c>
      <c r="D64" s="125">
        <v>21.809349999999998</v>
      </c>
      <c r="E64" s="125">
        <v>511.4</v>
      </c>
      <c r="F64" s="125">
        <v>333.15</v>
      </c>
      <c r="G64" s="125">
        <v>0.99</v>
      </c>
      <c r="H64" s="125">
        <v>1.34</v>
      </c>
      <c r="I64" s="125">
        <v>929.50329999999997</v>
      </c>
      <c r="J64" s="125">
        <v>393.98689999999999</v>
      </c>
      <c r="K64" s="125">
        <v>0.99</v>
      </c>
      <c r="L64" s="125">
        <v>1.34</v>
      </c>
      <c r="M64" s="125">
        <v>81.796188213739512</v>
      </c>
      <c r="N64" s="125">
        <v>0.90388556677517751</v>
      </c>
      <c r="O64" s="125">
        <v>1636.2370436756489</v>
      </c>
      <c r="P64" s="125">
        <v>20.003830000000001</v>
      </c>
      <c r="Q64" s="125">
        <v>21.470483430134863</v>
      </c>
      <c r="R64" s="125">
        <v>4.9183440515468959</v>
      </c>
      <c r="S64" s="125">
        <v>5.1551066579756339</v>
      </c>
      <c r="T64" s="125">
        <v>3.2001523734431876</v>
      </c>
      <c r="U64" s="125">
        <v>3.3542034949110362</v>
      </c>
      <c r="X64" s="125">
        <v>4.0671880190464682</v>
      </c>
      <c r="Y64" s="125">
        <v>6.2508992278005131</v>
      </c>
      <c r="Z64" s="125">
        <v>0.931689780767752</v>
      </c>
      <c r="AA64" s="125">
        <v>0.95</v>
      </c>
      <c r="AC64" s="125">
        <v>1.8175660930778257</v>
      </c>
      <c r="AD64" s="125">
        <v>418.10329999999999</v>
      </c>
      <c r="AE64" s="125">
        <v>20.335693137392564</v>
      </c>
      <c r="AF64" s="125">
        <v>1.3902633161728006</v>
      </c>
      <c r="AG64" s="125">
        <v>0.28071179871676444</v>
      </c>
      <c r="AH64" s="125">
        <v>332.68047670659132</v>
      </c>
      <c r="AI64" s="125">
        <v>0.65052889461593921</v>
      </c>
      <c r="AJ64" s="125">
        <v>90.632895527689215</v>
      </c>
      <c r="AK64" s="125">
        <v>2.2704859959875625</v>
      </c>
      <c r="AL64" s="125">
        <v>0.10040109878591039</v>
      </c>
      <c r="AM64" s="125">
        <v>5.1772042647862069</v>
      </c>
      <c r="AN64" s="125">
        <f t="shared" si="0"/>
        <v>0.68296451161038807</v>
      </c>
    </row>
    <row r="65" spans="1:40">
      <c r="A65" s="125" t="s">
        <v>44</v>
      </c>
      <c r="B65" s="125" t="s">
        <v>64</v>
      </c>
      <c r="C65" s="125">
        <v>7552.5</v>
      </c>
      <c r="D65" s="125">
        <v>21.809349999999998</v>
      </c>
      <c r="E65" s="125">
        <v>511.4</v>
      </c>
      <c r="F65" s="125">
        <v>333.15</v>
      </c>
      <c r="G65" s="125">
        <v>0.99</v>
      </c>
      <c r="H65" s="125">
        <v>1.34</v>
      </c>
      <c r="I65" s="125">
        <v>876.07370000000003</v>
      </c>
      <c r="J65" s="125">
        <v>392.1866</v>
      </c>
      <c r="K65" s="125">
        <v>0.99</v>
      </c>
      <c r="L65" s="125">
        <v>1.34</v>
      </c>
      <c r="M65" s="125">
        <v>73.51862300359636</v>
      </c>
      <c r="N65" s="125">
        <v>0.83718895175493546</v>
      </c>
      <c r="O65" s="125">
        <v>1500.0592800407794</v>
      </c>
      <c r="P65" s="125">
        <v>20.4038</v>
      </c>
      <c r="Q65" s="125">
        <v>21.899778682971494</v>
      </c>
      <c r="R65" s="125">
        <v>5.0166847228232072</v>
      </c>
      <c r="S65" s="125">
        <v>5.3633169253305306</v>
      </c>
      <c r="T65" s="125">
        <v>3.4473852761303676</v>
      </c>
      <c r="U65" s="125">
        <v>3.6855853658669018</v>
      </c>
      <c r="X65" s="125">
        <v>4.0671880190464682</v>
      </c>
      <c r="Y65" s="125">
        <v>5.9186306042656556</v>
      </c>
      <c r="Z65" s="125">
        <v>0.931689780767752</v>
      </c>
      <c r="AA65" s="125">
        <v>0.95</v>
      </c>
      <c r="AC65" s="125">
        <v>1.7130889714509192</v>
      </c>
      <c r="AD65" s="125">
        <v>364.67370000000005</v>
      </c>
      <c r="AE65" s="125">
        <v>20.742298631648563</v>
      </c>
      <c r="AF65" s="125">
        <v>1.4348753698633787</v>
      </c>
      <c r="AG65" s="125">
        <v>0.3030753604090265</v>
      </c>
      <c r="AH65" s="125">
        <v>299.01406265702121</v>
      </c>
      <c r="AI65" s="125">
        <v>0.58469703296249753</v>
      </c>
      <c r="AJ65" s="125">
        <v>81.461078120328395</v>
      </c>
      <c r="AK65" s="125">
        <v>2.3158836165339851</v>
      </c>
      <c r="AL65" s="125">
        <v>0.10240858572623134</v>
      </c>
      <c r="AM65" s="125">
        <v>5.2807207608665339</v>
      </c>
      <c r="AN65" s="125">
        <f t="shared" si="0"/>
        <v>0.76110549306259012</v>
      </c>
    </row>
    <row r="66" spans="1:40">
      <c r="A66" s="125" t="s">
        <v>44</v>
      </c>
      <c r="B66" s="125" t="s">
        <v>64</v>
      </c>
      <c r="C66" s="125">
        <v>7552.5</v>
      </c>
      <c r="D66" s="125">
        <v>21.809349999999998</v>
      </c>
      <c r="E66" s="125">
        <v>511.4</v>
      </c>
      <c r="F66" s="125">
        <v>333.15</v>
      </c>
      <c r="G66" s="125">
        <v>0.99</v>
      </c>
      <c r="H66" s="125">
        <v>1.34</v>
      </c>
      <c r="I66" s="125">
        <v>849.70029999999997</v>
      </c>
      <c r="J66" s="125">
        <v>391.36430000000001</v>
      </c>
      <c r="K66" s="125">
        <v>0.99</v>
      </c>
      <c r="L66" s="125">
        <v>1.34</v>
      </c>
      <c r="M66" s="125">
        <v>69.269270885376599</v>
      </c>
      <c r="N66" s="125">
        <v>0.79994181463882341</v>
      </c>
      <c r="O66" s="125">
        <v>1424.8238770861212</v>
      </c>
      <c r="P66" s="125">
        <v>20.56935</v>
      </c>
      <c r="Q66" s="125">
        <v>22.077466582331709</v>
      </c>
      <c r="R66" s="125">
        <v>5.0573885209325482</v>
      </c>
      <c r="S66" s="125">
        <v>5.4507025275828243</v>
      </c>
      <c r="T66" s="125">
        <v>3.5757130543805919</v>
      </c>
      <c r="U66" s="125">
        <v>3.8537968959183981</v>
      </c>
      <c r="X66" s="125">
        <v>4.0671880190464682</v>
      </c>
      <c r="Y66" s="125">
        <v>5.7525169629594775</v>
      </c>
      <c r="Z66" s="125">
        <v>0.931689780767752</v>
      </c>
      <c r="AA66" s="125">
        <v>0.95</v>
      </c>
      <c r="AC66" s="125">
        <v>1.6615179898318342</v>
      </c>
      <c r="AD66" s="125">
        <v>338.30029999999999</v>
      </c>
      <c r="AE66" s="125">
        <v>20.910595102819098</v>
      </c>
      <c r="AF66" s="125">
        <v>1.4645303533892924</v>
      </c>
      <c r="AG66" s="125">
        <v>0.31718724867275849</v>
      </c>
      <c r="AH66" s="125">
        <v>281.73114863308803</v>
      </c>
      <c r="AI66" s="125">
        <v>0.55090173764780614</v>
      </c>
      <c r="AJ66" s="125">
        <v>76.752654720638901</v>
      </c>
      <c r="AK66" s="125">
        <v>2.3346739660138467</v>
      </c>
      <c r="AL66" s="125">
        <v>0.10323949670197985</v>
      </c>
      <c r="AM66" s="125">
        <v>5.3235668641395248</v>
      </c>
      <c r="AN66" s="125">
        <f t="shared" si="0"/>
        <v>0.80682220128274484</v>
      </c>
    </row>
    <row r="67" spans="1:40">
      <c r="A67" s="125" t="s">
        <v>44</v>
      </c>
      <c r="B67" s="125" t="s">
        <v>64</v>
      </c>
      <c r="C67" s="125">
        <v>7552.5</v>
      </c>
      <c r="D67" s="125">
        <v>21.809349999999998</v>
      </c>
      <c r="E67" s="125">
        <v>511.4</v>
      </c>
      <c r="F67" s="125">
        <v>333.15</v>
      </c>
      <c r="G67" s="125">
        <v>0.99</v>
      </c>
      <c r="H67" s="125">
        <v>1.34</v>
      </c>
      <c r="I67" s="125">
        <v>801.17619999999988</v>
      </c>
      <c r="J67" s="125">
        <v>389.88709999999998</v>
      </c>
      <c r="K67" s="125">
        <v>0.99</v>
      </c>
      <c r="L67" s="125">
        <v>1.34</v>
      </c>
      <c r="M67" s="125">
        <v>61.128107374404308</v>
      </c>
      <c r="N67" s="125">
        <v>0.72430465726665694</v>
      </c>
      <c r="O67" s="125">
        <v>1273.9366540498306</v>
      </c>
      <c r="P67" s="125">
        <v>20.840440000000001</v>
      </c>
      <c r="Q67" s="125">
        <v>22.368432530006491</v>
      </c>
      <c r="R67" s="125">
        <v>5.1240414513430679</v>
      </c>
      <c r="S67" s="125">
        <v>5.5953223655563136</v>
      </c>
      <c r="T67" s="125">
        <v>3.8277570676358552</v>
      </c>
      <c r="U67" s="125">
        <v>4.1798129335673853</v>
      </c>
      <c r="X67" s="125">
        <v>4.0671880190464682</v>
      </c>
      <c r="Y67" s="125">
        <v>5.4445565984864661</v>
      </c>
      <c r="Z67" s="125">
        <v>0.931689780767752</v>
      </c>
      <c r="AA67" s="125">
        <v>0.95</v>
      </c>
      <c r="AC67" s="125">
        <v>1.5666331638639028</v>
      </c>
      <c r="AD67" s="125">
        <v>289.7761999999999</v>
      </c>
      <c r="AE67" s="125">
        <v>21.186182480467064</v>
      </c>
      <c r="AF67" s="125">
        <v>1.5391962011953533</v>
      </c>
      <c r="AG67" s="125">
        <v>0.35031024685261619</v>
      </c>
      <c r="AH67" s="125">
        <v>248.61950594016326</v>
      </c>
      <c r="AI67" s="125">
        <v>0.48615468506093718</v>
      </c>
      <c r="AJ67" s="125">
        <v>67.731974930087873</v>
      </c>
      <c r="AK67" s="125">
        <v>2.365443376104428</v>
      </c>
      <c r="AL67" s="125">
        <v>0.10460012283556888</v>
      </c>
      <c r="AM67" s="125">
        <v>5.3937278435190192</v>
      </c>
      <c r="AN67" s="125">
        <f t="shared" si="0"/>
        <v>0.91082957869848591</v>
      </c>
    </row>
    <row r="68" spans="1:40">
      <c r="A68" s="125" t="s">
        <v>44</v>
      </c>
      <c r="B68" s="125" t="s">
        <v>64</v>
      </c>
      <c r="C68" s="125">
        <v>7552.5</v>
      </c>
      <c r="D68" s="125">
        <v>21.809349999999998</v>
      </c>
      <c r="E68" s="125">
        <v>511.4</v>
      </c>
      <c r="F68" s="125">
        <v>333.15</v>
      </c>
      <c r="G68" s="125">
        <v>0.99</v>
      </c>
      <c r="H68" s="125">
        <v>1.34</v>
      </c>
      <c r="I68" s="125">
        <v>774.96190000000001</v>
      </c>
      <c r="J68" s="125">
        <v>389.08170000000001</v>
      </c>
      <c r="K68" s="125">
        <v>0.99</v>
      </c>
      <c r="L68" s="125">
        <v>1.34</v>
      </c>
      <c r="M68" s="125">
        <v>56.538313329148053</v>
      </c>
      <c r="N68" s="125">
        <v>0.67956701513021389</v>
      </c>
      <c r="O68" s="125">
        <v>1185.9680141850081</v>
      </c>
      <c r="P68" s="125">
        <v>20.97636</v>
      </c>
      <c r="Q68" s="125">
        <v>22.514317998330505</v>
      </c>
      <c r="R68" s="125">
        <v>5.1574601178427457</v>
      </c>
      <c r="S68" s="125">
        <v>5.6685450263715422</v>
      </c>
      <c r="T68" s="125">
        <v>3.9748179064291547</v>
      </c>
      <c r="U68" s="125">
        <v>4.368707417876446</v>
      </c>
      <c r="X68" s="125">
        <v>4.0671880190464682</v>
      </c>
      <c r="Y68" s="125">
        <v>5.2773134502768881</v>
      </c>
      <c r="Z68" s="125">
        <v>0.931689780767752</v>
      </c>
      <c r="AA68" s="125">
        <v>0.95</v>
      </c>
      <c r="AC68" s="125">
        <v>1.5153732890105593</v>
      </c>
      <c r="AD68" s="125">
        <v>263.56190000000004</v>
      </c>
      <c r="AE68" s="125">
        <v>21.324357390533507</v>
      </c>
      <c r="AF68" s="125">
        <v>1.5958433265660412</v>
      </c>
      <c r="AG68" s="125">
        <v>0.37337207020703311</v>
      </c>
      <c r="AH68" s="125">
        <v>229.95195058940618</v>
      </c>
      <c r="AI68" s="125">
        <v>0.44965183924404811</v>
      </c>
      <c r="AJ68" s="125">
        <v>62.646330558612803</v>
      </c>
      <c r="AK68" s="125">
        <v>2.3808706446112402</v>
      </c>
      <c r="AL68" s="125">
        <v>0.10528231806253198</v>
      </c>
      <c r="AM68" s="125">
        <v>5.4289053872028905</v>
      </c>
      <c r="AN68" s="125">
        <f t="shared" si="0"/>
        <v>0.98314330292983421</v>
      </c>
    </row>
    <row r="69" spans="1:40">
      <c r="A69" s="125" t="s">
        <v>44</v>
      </c>
      <c r="B69" s="125" t="s">
        <v>64</v>
      </c>
      <c r="C69" s="125">
        <v>7155</v>
      </c>
      <c r="D69" s="125">
        <v>21.809349999999998</v>
      </c>
      <c r="E69" s="125">
        <v>511.4</v>
      </c>
      <c r="F69" s="125">
        <v>333.15</v>
      </c>
      <c r="G69" s="125">
        <v>0.99</v>
      </c>
      <c r="H69" s="125">
        <v>1.34</v>
      </c>
      <c r="I69" s="125">
        <v>1188.0229999999999</v>
      </c>
      <c r="J69" s="125">
        <v>407.83580000000001</v>
      </c>
      <c r="K69" s="125">
        <v>0.99</v>
      </c>
      <c r="L69" s="125">
        <v>1.34</v>
      </c>
      <c r="M69" s="125">
        <v>117.46330202425968</v>
      </c>
      <c r="N69" s="125">
        <v>1.0573326177451363</v>
      </c>
      <c r="O69" s="125">
        <v>1287.9956783931896</v>
      </c>
      <c r="P69" s="125">
        <v>10.96509</v>
      </c>
      <c r="Q69" s="125">
        <v>11.769035387470172</v>
      </c>
      <c r="R69" s="125">
        <v>2.695987977111201</v>
      </c>
      <c r="S69" s="125">
        <v>1.548944105528901</v>
      </c>
      <c r="T69" s="125">
        <v>1.420690100424095</v>
      </c>
      <c r="U69" s="125">
        <v>0.81623863886556125</v>
      </c>
      <c r="X69" s="125">
        <v>4.0671880190464682</v>
      </c>
      <c r="Y69" s="125">
        <v>7.7181434548792689</v>
      </c>
      <c r="Z69" s="125">
        <v>0.931689780767752</v>
      </c>
      <c r="AA69" s="125">
        <v>0.9</v>
      </c>
      <c r="AC69" s="125">
        <v>2.3230797809933517</v>
      </c>
      <c r="AD69" s="125">
        <v>676.62299999999993</v>
      </c>
      <c r="AE69" s="125">
        <v>11.147000622575369</v>
      </c>
      <c r="AF69" s="125">
        <v>1.3157428333517671</v>
      </c>
      <c r="AG69" s="125">
        <v>0.23997305958903328</v>
      </c>
      <c r="AH69" s="125">
        <v>477.74533467070574</v>
      </c>
      <c r="AI69" s="125">
        <v>0.93419111198808324</v>
      </c>
      <c r="AJ69" s="125">
        <v>145.01642225217242</v>
      </c>
      <c r="AK69" s="125">
        <v>1.244565830130693</v>
      </c>
      <c r="AL69" s="125">
        <v>5.5034815047238353E-2</v>
      </c>
      <c r="AM69" s="125">
        <v>2.9955421967902232</v>
      </c>
      <c r="AN69" s="125">
        <f t="shared" si="0"/>
        <v>0.28019377599910089</v>
      </c>
    </row>
    <row r="70" spans="1:40">
      <c r="A70" s="125" t="s">
        <v>44</v>
      </c>
      <c r="B70" s="125" t="s">
        <v>64</v>
      </c>
      <c r="C70" s="125">
        <v>7155</v>
      </c>
      <c r="D70" s="125">
        <v>21.809349999999998</v>
      </c>
      <c r="E70" s="125">
        <v>511.4</v>
      </c>
      <c r="F70" s="125">
        <v>333.15</v>
      </c>
      <c r="G70" s="125">
        <v>0.99</v>
      </c>
      <c r="H70" s="125">
        <v>1.34</v>
      </c>
      <c r="I70" s="125">
        <v>1186.018</v>
      </c>
      <c r="J70" s="125">
        <v>407.34750000000003</v>
      </c>
      <c r="K70" s="125">
        <v>0.99</v>
      </c>
      <c r="L70" s="125">
        <v>1.34</v>
      </c>
      <c r="M70" s="125">
        <v>117.15535685699255</v>
      </c>
      <c r="N70" s="125">
        <v>1.0615008369063017</v>
      </c>
      <c r="O70" s="125">
        <v>1312.0579880485166</v>
      </c>
      <c r="P70" s="125">
        <v>11.199299999999999</v>
      </c>
      <c r="Q70" s="125">
        <v>12.020417344034083</v>
      </c>
      <c r="R70" s="125">
        <v>2.7535732175532961</v>
      </c>
      <c r="S70" s="125">
        <v>1.6158204555849107</v>
      </c>
      <c r="T70" s="125">
        <v>1.4517482458059652</v>
      </c>
      <c r="U70" s="125">
        <v>0.8518983613652128</v>
      </c>
      <c r="X70" s="125">
        <v>4.0671880190464682</v>
      </c>
      <c r="Y70" s="125">
        <v>7.7143540778191184</v>
      </c>
      <c r="Z70" s="125">
        <v>0.931689780767752</v>
      </c>
      <c r="AA70" s="125">
        <v>0.9</v>
      </c>
      <c r="AC70" s="125">
        <v>2.3191591709034025</v>
      </c>
      <c r="AD70" s="125">
        <v>674.61800000000005</v>
      </c>
      <c r="AE70" s="125">
        <v>11.385096161765048</v>
      </c>
      <c r="AF70" s="125">
        <v>1.3141135500743373</v>
      </c>
      <c r="AG70" s="125">
        <v>0.23903075198986296</v>
      </c>
      <c r="AH70" s="125">
        <v>476.49286377587367</v>
      </c>
      <c r="AI70" s="125">
        <v>0.93174200972990551</v>
      </c>
      <c r="AJ70" s="125">
        <v>144.63624303332412</v>
      </c>
      <c r="AK70" s="125">
        <v>1.2711492656588017</v>
      </c>
      <c r="AL70" s="125">
        <v>5.6210337002116396E-2</v>
      </c>
      <c r="AM70" s="125">
        <v>3.0595257972814398</v>
      </c>
      <c r="AN70" s="125">
        <f t="shared" ref="AN70:AN133" si="1">AE70/SQRT(1377.043*AC70-1616.279)</f>
        <v>0.2866679573891186</v>
      </c>
    </row>
    <row r="71" spans="1:40">
      <c r="A71" s="125" t="s">
        <v>44</v>
      </c>
      <c r="B71" s="125" t="s">
        <v>64</v>
      </c>
      <c r="C71" s="125">
        <v>7155</v>
      </c>
      <c r="D71" s="125">
        <v>21.809349999999998</v>
      </c>
      <c r="E71" s="125">
        <v>511.4</v>
      </c>
      <c r="F71" s="125">
        <v>333.15</v>
      </c>
      <c r="G71" s="125">
        <v>0.99</v>
      </c>
      <c r="H71" s="125">
        <v>1.34</v>
      </c>
      <c r="I71" s="125">
        <v>1177.231</v>
      </c>
      <c r="J71" s="125">
        <v>405.82479999999998</v>
      </c>
      <c r="K71" s="125">
        <v>0.99</v>
      </c>
      <c r="L71" s="125">
        <v>1.34</v>
      </c>
      <c r="M71" s="125">
        <v>115.89524516838121</v>
      </c>
      <c r="N71" s="125">
        <v>1.0720850388868401</v>
      </c>
      <c r="O71" s="125">
        <v>1379.374777422008</v>
      </c>
      <c r="P71" s="125">
        <v>11.901910000000001</v>
      </c>
      <c r="Q71" s="125">
        <v>12.774541747353203</v>
      </c>
      <c r="R71" s="125">
        <v>2.926324021477213</v>
      </c>
      <c r="S71" s="125">
        <v>1.8249235210692096</v>
      </c>
      <c r="T71" s="125">
        <v>1.5485320980836956</v>
      </c>
      <c r="U71" s="125">
        <v>0.96570052673013385</v>
      </c>
      <c r="X71" s="125">
        <v>4.0671880190464682</v>
      </c>
      <c r="Y71" s="125">
        <v>7.6859304464715867</v>
      </c>
      <c r="Z71" s="125">
        <v>0.931689780767752</v>
      </c>
      <c r="AA71" s="125">
        <v>0.9</v>
      </c>
      <c r="AC71" s="125">
        <v>2.3019769260852563</v>
      </c>
      <c r="AD71" s="125">
        <v>665.83100000000002</v>
      </c>
      <c r="AE71" s="125">
        <v>12.099362447534494</v>
      </c>
      <c r="AF71" s="125">
        <v>1.3100509530864175</v>
      </c>
      <c r="AG71" s="125">
        <v>0.23667091142978239</v>
      </c>
      <c r="AH71" s="125">
        <v>471.36775261329319</v>
      </c>
      <c r="AI71" s="125">
        <v>0.92172028277922025</v>
      </c>
      <c r="AJ71" s="125">
        <v>143.08054959059407</v>
      </c>
      <c r="AK71" s="125">
        <v>1.3508973021918467</v>
      </c>
      <c r="AL71" s="125">
        <v>5.9736802484874875E-2</v>
      </c>
      <c r="AM71" s="125">
        <v>3.2514711349746812</v>
      </c>
      <c r="AN71" s="125">
        <f t="shared" si="1"/>
        <v>0.30696367129211</v>
      </c>
    </row>
    <row r="72" spans="1:40">
      <c r="A72" s="125" t="s">
        <v>44</v>
      </c>
      <c r="B72" s="125" t="s">
        <v>64</v>
      </c>
      <c r="C72" s="125">
        <v>7155</v>
      </c>
      <c r="D72" s="125">
        <v>21.809349999999998</v>
      </c>
      <c r="E72" s="125">
        <v>511.4</v>
      </c>
      <c r="F72" s="125">
        <v>333.15</v>
      </c>
      <c r="G72" s="125">
        <v>0.99</v>
      </c>
      <c r="H72" s="125">
        <v>1.34</v>
      </c>
      <c r="I72" s="125">
        <v>1167.009</v>
      </c>
      <c r="J72" s="125">
        <v>404.53809999999999</v>
      </c>
      <c r="K72" s="125">
        <v>0.99</v>
      </c>
      <c r="L72" s="125">
        <v>1.34</v>
      </c>
      <c r="M72" s="125">
        <v>114.49513285855673</v>
      </c>
      <c r="N72" s="125">
        <v>1.078223179993318</v>
      </c>
      <c r="O72" s="125">
        <v>1428.6897319816569</v>
      </c>
      <c r="P72" s="125">
        <v>12.47817</v>
      </c>
      <c r="Q72" s="125">
        <v>13.39305234164687</v>
      </c>
      <c r="R72" s="125">
        <v>3.0680091359350152</v>
      </c>
      <c r="S72" s="125">
        <v>2.0059178411815815</v>
      </c>
      <c r="T72" s="125">
        <v>1.632536047757019</v>
      </c>
      <c r="U72" s="125">
        <v>1.0673805192466788</v>
      </c>
      <c r="X72" s="125">
        <v>4.0671880190464682</v>
      </c>
      <c r="Y72" s="125">
        <v>7.6434269351320365</v>
      </c>
      <c r="Z72" s="125">
        <v>0.931689780767752</v>
      </c>
      <c r="AA72" s="125">
        <v>0.9</v>
      </c>
      <c r="AC72" s="125">
        <v>2.2819886585842788</v>
      </c>
      <c r="AD72" s="125">
        <v>655.60900000000004</v>
      </c>
      <c r="AE72" s="125">
        <v>12.685182589345031</v>
      </c>
      <c r="AF72" s="125">
        <v>1.3077426991832168</v>
      </c>
      <c r="AG72" s="125">
        <v>0.23532358420003047</v>
      </c>
      <c r="AH72" s="125">
        <v>465.6732326014556</v>
      </c>
      <c r="AI72" s="125">
        <v>0.91058512436733585</v>
      </c>
      <c r="AJ72" s="125">
        <v>141.35201587476138</v>
      </c>
      <c r="AK72" s="125">
        <v>1.4163042897561178</v>
      </c>
      <c r="AL72" s="125">
        <v>6.2629105468172019E-2</v>
      </c>
      <c r="AM72" s="125">
        <v>3.4088990399277947</v>
      </c>
      <c r="AN72" s="125">
        <f t="shared" si="1"/>
        <v>0.32471528736719085</v>
      </c>
    </row>
    <row r="73" spans="1:40">
      <c r="A73" s="125" t="s">
        <v>44</v>
      </c>
      <c r="B73" s="125" t="s">
        <v>64</v>
      </c>
      <c r="C73" s="125">
        <v>7155</v>
      </c>
      <c r="D73" s="125">
        <v>21.809349999999998</v>
      </c>
      <c r="E73" s="125">
        <v>511.4</v>
      </c>
      <c r="F73" s="125">
        <v>333.15</v>
      </c>
      <c r="G73" s="125">
        <v>0.99</v>
      </c>
      <c r="H73" s="125">
        <v>1.34</v>
      </c>
      <c r="I73" s="125">
        <v>1164.0899999999999</v>
      </c>
      <c r="J73" s="125">
        <v>404.22269999999997</v>
      </c>
      <c r="K73" s="125">
        <v>0.99</v>
      </c>
      <c r="L73" s="125">
        <v>1.34</v>
      </c>
      <c r="M73" s="125">
        <v>114.10164464132866</v>
      </c>
      <c r="N73" s="125">
        <v>1.0792860212067892</v>
      </c>
      <c r="O73" s="125">
        <v>1440.1795484983863</v>
      </c>
      <c r="P73" s="125">
        <v>12.6219</v>
      </c>
      <c r="Q73" s="125">
        <v>13.547320428478907</v>
      </c>
      <c r="R73" s="125">
        <v>3.103348048059785</v>
      </c>
      <c r="S73" s="125">
        <v>2.0523943719979041</v>
      </c>
      <c r="T73" s="125">
        <v>1.6541905356693694</v>
      </c>
      <c r="U73" s="125">
        <v>1.0939963204393397</v>
      </c>
      <c r="X73" s="125">
        <v>4.0671880190464682</v>
      </c>
      <c r="Y73" s="125">
        <v>7.6302576564389177</v>
      </c>
      <c r="Z73" s="125">
        <v>0.931689780767752</v>
      </c>
      <c r="AA73" s="125">
        <v>0.9</v>
      </c>
      <c r="AC73" s="125">
        <v>2.2762807978099335</v>
      </c>
      <c r="AD73" s="125">
        <v>652.68999999999994</v>
      </c>
      <c r="AE73" s="125">
        <v>12.8312970671544</v>
      </c>
      <c r="AF73" s="125">
        <v>1.3073465029861828</v>
      </c>
      <c r="AG73" s="125">
        <v>0.23509184618167839</v>
      </c>
      <c r="AH73" s="125">
        <v>464.07284203870972</v>
      </c>
      <c r="AI73" s="125">
        <v>0.90745569424855244</v>
      </c>
      <c r="AJ73" s="125">
        <v>140.86622795225759</v>
      </c>
      <c r="AK73" s="125">
        <v>1.4326180132882262</v>
      </c>
      <c r="AL73" s="125">
        <v>6.3350499817579051E-2</v>
      </c>
      <c r="AM73" s="125">
        <v>3.4481644978442056</v>
      </c>
      <c r="AN73" s="125">
        <f t="shared" si="1"/>
        <v>0.32930462981971254</v>
      </c>
    </row>
    <row r="74" spans="1:40">
      <c r="A74" s="125" t="s">
        <v>44</v>
      </c>
      <c r="B74" s="125" t="s">
        <v>64</v>
      </c>
      <c r="C74" s="125">
        <v>7155</v>
      </c>
      <c r="D74" s="125">
        <v>21.809349999999998</v>
      </c>
      <c r="E74" s="125">
        <v>511.4</v>
      </c>
      <c r="F74" s="125">
        <v>333.15</v>
      </c>
      <c r="G74" s="125">
        <v>0.99</v>
      </c>
      <c r="H74" s="125">
        <v>1.34</v>
      </c>
      <c r="I74" s="125">
        <v>1163.336</v>
      </c>
      <c r="J74" s="125">
        <v>404.14420000000001</v>
      </c>
      <c r="K74" s="125">
        <v>0.99</v>
      </c>
      <c r="L74" s="125">
        <v>1.34</v>
      </c>
      <c r="M74" s="125">
        <v>114.00033805506816</v>
      </c>
      <c r="N74" s="125">
        <v>1.0795200965095118</v>
      </c>
      <c r="O74" s="125">
        <v>1442.9638389455472</v>
      </c>
      <c r="P74" s="125">
        <v>12.657539999999999</v>
      </c>
      <c r="Q74" s="125">
        <v>13.58557350448735</v>
      </c>
      <c r="R74" s="125">
        <v>3.1121108590813304</v>
      </c>
      <c r="S74" s="125">
        <v>2.0640012785893695</v>
      </c>
      <c r="T74" s="125">
        <v>1.6596142217243275</v>
      </c>
      <c r="U74" s="125">
        <v>1.100682472672351</v>
      </c>
      <c r="X74" s="125">
        <v>4.0671880190464682</v>
      </c>
      <c r="Y74" s="125">
        <v>7.6267965376007112</v>
      </c>
      <c r="Z74" s="125">
        <v>0.931689780767752</v>
      </c>
      <c r="AA74" s="125">
        <v>0.9</v>
      </c>
      <c r="AC74" s="125">
        <v>2.2748064137661324</v>
      </c>
      <c r="AD74" s="125">
        <v>651.93600000000004</v>
      </c>
      <c r="AE74" s="125">
        <v>12.867528334037626</v>
      </c>
      <c r="AF74" s="125">
        <v>1.3072593835801045</v>
      </c>
      <c r="AG74" s="125">
        <v>0.23504087057201581</v>
      </c>
      <c r="AH74" s="125">
        <v>463.66080910482037</v>
      </c>
      <c r="AI74" s="125">
        <v>0.90664999824955106</v>
      </c>
      <c r="AJ74" s="125">
        <v>140.74115809267673</v>
      </c>
      <c r="AK74" s="125">
        <v>1.4366632446712659</v>
      </c>
      <c r="AL74" s="125">
        <v>6.3529380319999315E-2</v>
      </c>
      <c r="AM74" s="125">
        <v>3.4579009545348116</v>
      </c>
      <c r="AN74" s="125">
        <f t="shared" si="1"/>
        <v>0.33045550008795432</v>
      </c>
    </row>
    <row r="75" spans="1:40">
      <c r="A75" s="125" t="s">
        <v>44</v>
      </c>
      <c r="B75" s="125" t="s">
        <v>64</v>
      </c>
      <c r="C75" s="125">
        <v>7155</v>
      </c>
      <c r="D75" s="125">
        <v>21.809349999999998</v>
      </c>
      <c r="E75" s="125">
        <v>511.4</v>
      </c>
      <c r="F75" s="125">
        <v>333.15</v>
      </c>
      <c r="G75" s="125">
        <v>0.99</v>
      </c>
      <c r="H75" s="125">
        <v>1.34</v>
      </c>
      <c r="I75" s="125">
        <v>1147.45</v>
      </c>
      <c r="J75" s="125">
        <v>402.6884</v>
      </c>
      <c r="K75" s="125">
        <v>0.99</v>
      </c>
      <c r="L75" s="125">
        <v>1.34</v>
      </c>
      <c r="M75" s="125">
        <v>111.88469542918355</v>
      </c>
      <c r="N75" s="125">
        <v>1.0816666812770537</v>
      </c>
      <c r="O75" s="125">
        <v>1492.29457184841</v>
      </c>
      <c r="P75" s="125">
        <v>13.33779</v>
      </c>
      <c r="Q75" s="125">
        <v>14.315698503217556</v>
      </c>
      <c r="R75" s="125">
        <v>3.2793640071567132</v>
      </c>
      <c r="S75" s="125">
        <v>2.2918125618410223</v>
      </c>
      <c r="T75" s="125">
        <v>1.7666311379013253</v>
      </c>
      <c r="U75" s="125">
        <v>1.234625807060727</v>
      </c>
      <c r="X75" s="125">
        <v>4.0671880190464682</v>
      </c>
      <c r="Y75" s="125">
        <v>7.5498442848939407</v>
      </c>
      <c r="Z75" s="125">
        <v>0.931689780767752</v>
      </c>
      <c r="AA75" s="125">
        <v>0.9</v>
      </c>
      <c r="AC75" s="125">
        <v>2.2437426671881111</v>
      </c>
      <c r="AD75" s="125">
        <v>636.05000000000007</v>
      </c>
      <c r="AE75" s="125">
        <v>13.559063667856766</v>
      </c>
      <c r="AF75" s="125">
        <v>1.3064627533576576</v>
      </c>
      <c r="AG75" s="125">
        <v>0.23457442821851368</v>
      </c>
      <c r="AH75" s="125">
        <v>455.0560927642386</v>
      </c>
      <c r="AI75" s="125">
        <v>0.88982419390738865</v>
      </c>
      <c r="AJ75" s="125">
        <v>138.12925361627597</v>
      </c>
      <c r="AK75" s="125">
        <v>1.5138733638719661</v>
      </c>
      <c r="AL75" s="125">
        <v>6.6943618865773588E-2</v>
      </c>
      <c r="AM75" s="125">
        <v>3.6437377857296811</v>
      </c>
      <c r="AN75" s="125">
        <f t="shared" si="1"/>
        <v>0.35323345677671442</v>
      </c>
    </row>
    <row r="76" spans="1:40">
      <c r="A76" s="125" t="s">
        <v>44</v>
      </c>
      <c r="B76" s="125" t="s">
        <v>64</v>
      </c>
      <c r="C76" s="125">
        <v>7155</v>
      </c>
      <c r="D76" s="125">
        <v>21.809349999999998</v>
      </c>
      <c r="E76" s="125">
        <v>511.4</v>
      </c>
      <c r="F76" s="125">
        <v>333.15</v>
      </c>
      <c r="G76" s="125">
        <v>0.99</v>
      </c>
      <c r="H76" s="125">
        <v>1.34</v>
      </c>
      <c r="I76" s="125">
        <v>1134.261</v>
      </c>
      <c r="J76" s="125">
        <v>401.62509999999997</v>
      </c>
      <c r="K76" s="125">
        <v>0.99</v>
      </c>
      <c r="L76" s="125">
        <v>1.34</v>
      </c>
      <c r="M76" s="125">
        <v>110.13388809561663</v>
      </c>
      <c r="N76" s="125">
        <v>1.0812739958316122</v>
      </c>
      <c r="O76" s="125">
        <v>1520.3597782991542</v>
      </c>
      <c r="P76" s="125">
        <v>13.804650000000001</v>
      </c>
      <c r="Q76" s="125">
        <v>14.816788039281038</v>
      </c>
      <c r="R76" s="125">
        <v>3.3941509306561222</v>
      </c>
      <c r="S76" s="125">
        <v>2.4550601964113383</v>
      </c>
      <c r="T76" s="125">
        <v>1.8448450853854603</v>
      </c>
      <c r="U76" s="125">
        <v>1.3344149480115726</v>
      </c>
      <c r="X76" s="125">
        <v>4.0671880190464682</v>
      </c>
      <c r="Y76" s="125">
        <v>7.4828234139321621</v>
      </c>
      <c r="Z76" s="125">
        <v>0.931689780767752</v>
      </c>
      <c r="AA76" s="125">
        <v>0.9</v>
      </c>
      <c r="AC76" s="125">
        <v>2.2179526789206103</v>
      </c>
      <c r="AD76" s="125">
        <v>622.86099999999999</v>
      </c>
      <c r="AE76" s="125">
        <v>14.033668865867501</v>
      </c>
      <c r="AF76" s="125">
        <v>1.3066081760285531</v>
      </c>
      <c r="AG76" s="125">
        <v>0.23465961843319494</v>
      </c>
      <c r="AH76" s="125">
        <v>447.93523015349643</v>
      </c>
      <c r="AI76" s="125">
        <v>0.8758999416376545</v>
      </c>
      <c r="AJ76" s="125">
        <v>135.96776308100817</v>
      </c>
      <c r="AK76" s="125">
        <v>1.5668631709282526</v>
      </c>
      <c r="AL76" s="125">
        <v>6.9286832989228442E-2</v>
      </c>
      <c r="AM76" s="125">
        <v>3.7712788118401357</v>
      </c>
      <c r="AN76" s="125">
        <f t="shared" si="1"/>
        <v>0.37008481305706181</v>
      </c>
    </row>
    <row r="77" spans="1:40">
      <c r="A77" s="125" t="s">
        <v>44</v>
      </c>
      <c r="B77" s="125" t="s">
        <v>64</v>
      </c>
      <c r="C77" s="125">
        <v>7155</v>
      </c>
      <c r="D77" s="125">
        <v>21.809349999999998</v>
      </c>
      <c r="E77" s="125">
        <v>511.4</v>
      </c>
      <c r="F77" s="125">
        <v>333.15</v>
      </c>
      <c r="G77" s="125">
        <v>0.99</v>
      </c>
      <c r="H77" s="125">
        <v>1.34</v>
      </c>
      <c r="I77" s="125">
        <v>1112.2080000000001</v>
      </c>
      <c r="J77" s="125">
        <v>400.00150000000002</v>
      </c>
      <c r="K77" s="125">
        <v>0.99</v>
      </c>
      <c r="L77" s="125">
        <v>1.34</v>
      </c>
      <c r="M77" s="125">
        <v>107.19529048731708</v>
      </c>
      <c r="N77" s="125">
        <v>1.0779832465529837</v>
      </c>
      <c r="O77" s="125">
        <v>1551.404208682889</v>
      </c>
      <c r="P77" s="125">
        <v>14.47269</v>
      </c>
      <c r="Q77" s="125">
        <v>15.533807817526869</v>
      </c>
      <c r="R77" s="125">
        <v>3.558402004585234</v>
      </c>
      <c r="S77" s="125">
        <v>2.698421972382302</v>
      </c>
      <c r="T77" s="125">
        <v>1.9644976862671879</v>
      </c>
      <c r="U77" s="125">
        <v>1.4897259259877977</v>
      </c>
      <c r="X77" s="125">
        <v>4.0671880190464682</v>
      </c>
      <c r="Y77" s="125">
        <v>7.3671199010165669</v>
      </c>
      <c r="Z77" s="125">
        <v>0.931689780767752</v>
      </c>
      <c r="AA77" s="125">
        <v>0.9</v>
      </c>
      <c r="AC77" s="125">
        <v>2.1748298787641769</v>
      </c>
      <c r="AD77" s="125">
        <v>600.80800000000011</v>
      </c>
      <c r="AE77" s="125">
        <v>14.712791636032202</v>
      </c>
      <c r="AF77" s="125">
        <v>1.3078322807349971</v>
      </c>
      <c r="AG77" s="125">
        <v>0.23537596163477206</v>
      </c>
      <c r="AH77" s="125">
        <v>435.98340116822186</v>
      </c>
      <c r="AI77" s="125">
        <v>0.85252913799026564</v>
      </c>
      <c r="AJ77" s="125">
        <v>132.33986479915689</v>
      </c>
      <c r="AK77" s="125">
        <v>1.6426874238218001</v>
      </c>
      <c r="AL77" s="125">
        <v>7.2639788399914279E-2</v>
      </c>
      <c r="AM77" s="125">
        <v>3.9537800050947043</v>
      </c>
      <c r="AN77" s="125">
        <f t="shared" si="1"/>
        <v>0.39626251768982562</v>
      </c>
    </row>
    <row r="78" spans="1:40">
      <c r="A78" s="125" t="s">
        <v>44</v>
      </c>
      <c r="B78" s="125" t="s">
        <v>64</v>
      </c>
      <c r="C78" s="125">
        <v>7155</v>
      </c>
      <c r="D78" s="125">
        <v>21.809349999999998</v>
      </c>
      <c r="E78" s="125">
        <v>511.4</v>
      </c>
      <c r="F78" s="125">
        <v>333.15</v>
      </c>
      <c r="G78" s="125">
        <v>0.99</v>
      </c>
      <c r="H78" s="125">
        <v>1.34</v>
      </c>
      <c r="I78" s="125">
        <v>1100.3780000000002</v>
      </c>
      <c r="J78" s="125">
        <v>399.1771</v>
      </c>
      <c r="K78" s="125">
        <v>0.99</v>
      </c>
      <c r="L78" s="125">
        <v>1.34</v>
      </c>
      <c r="M78" s="125">
        <v>105.60761986784962</v>
      </c>
      <c r="N78" s="125">
        <v>1.0752773408270206</v>
      </c>
      <c r="O78" s="125">
        <v>1563.5514383532752</v>
      </c>
      <c r="P78" s="125">
        <v>14.805289999999999</v>
      </c>
      <c r="Q78" s="125">
        <v>15.890793594193779</v>
      </c>
      <c r="R78" s="125">
        <v>3.6401784059815916</v>
      </c>
      <c r="S78" s="125">
        <v>2.8238731376428392</v>
      </c>
      <c r="T78" s="125">
        <v>2.0270632259545311</v>
      </c>
      <c r="U78" s="125">
        <v>1.5724969365981083</v>
      </c>
      <c r="X78" s="125">
        <v>4.0671880190464682</v>
      </c>
      <c r="Y78" s="125">
        <v>7.3038126341758689</v>
      </c>
      <c r="Z78" s="125">
        <v>0.931689780767752</v>
      </c>
      <c r="AA78" s="125">
        <v>0.9</v>
      </c>
      <c r="AC78" s="125">
        <v>2.1516973015252252</v>
      </c>
      <c r="AD78" s="125">
        <v>588.97800000000018</v>
      </c>
      <c r="AE78" s="125">
        <v>15.050909463343107</v>
      </c>
      <c r="AF78" s="125">
        <v>1.3088461803018721</v>
      </c>
      <c r="AG78" s="125">
        <v>0.23596827874047036</v>
      </c>
      <c r="AH78" s="125">
        <v>429.52604624653179</v>
      </c>
      <c r="AI78" s="125">
        <v>0.83990231960604578</v>
      </c>
      <c r="AJ78" s="125">
        <v>130.37977761462915</v>
      </c>
      <c r="AK78" s="125">
        <v>1.6804383766276105</v>
      </c>
      <c r="AL78" s="125">
        <v>7.4309138992085563E-2</v>
      </c>
      <c r="AM78" s="125">
        <v>4.0446426733128797</v>
      </c>
      <c r="AN78" s="125">
        <f t="shared" si="1"/>
        <v>0.41013534624648929</v>
      </c>
    </row>
    <row r="79" spans="1:40">
      <c r="A79" s="125" t="s">
        <v>44</v>
      </c>
      <c r="B79" s="125" t="s">
        <v>64</v>
      </c>
      <c r="C79" s="125">
        <v>7155</v>
      </c>
      <c r="D79" s="125">
        <v>21.809349999999998</v>
      </c>
      <c r="E79" s="125">
        <v>511.4</v>
      </c>
      <c r="F79" s="125">
        <v>333.15</v>
      </c>
      <c r="G79" s="125">
        <v>0.99</v>
      </c>
      <c r="H79" s="125">
        <v>1.34</v>
      </c>
      <c r="I79" s="125">
        <v>1077.769</v>
      </c>
      <c r="J79" s="125">
        <v>397.64949999999999</v>
      </c>
      <c r="K79" s="125">
        <v>0.99</v>
      </c>
      <c r="L79" s="125">
        <v>1.34</v>
      </c>
      <c r="M79" s="125">
        <v>102.54369293888311</v>
      </c>
      <c r="N79" s="125">
        <v>1.0688089157169338</v>
      </c>
      <c r="O79" s="125">
        <v>1580.0762811935915</v>
      </c>
      <c r="P79" s="125">
        <v>15.408810000000001</v>
      </c>
      <c r="Q79" s="125">
        <v>16.538562854368205</v>
      </c>
      <c r="R79" s="125">
        <v>3.7885659398683318</v>
      </c>
      <c r="S79" s="125">
        <v>3.0587891790872375</v>
      </c>
      <c r="T79" s="125">
        <v>2.1457074522677497</v>
      </c>
      <c r="U79" s="125">
        <v>1.7323881491453041</v>
      </c>
      <c r="X79" s="125">
        <v>4.0671880190464682</v>
      </c>
      <c r="Y79" s="125">
        <v>7.1812259326008201</v>
      </c>
      <c r="Z79" s="125">
        <v>0.931689780767752</v>
      </c>
      <c r="AA79" s="125">
        <v>0.9</v>
      </c>
      <c r="AC79" s="125">
        <v>2.1074872897927261</v>
      </c>
      <c r="AD79" s="125">
        <v>566.36900000000003</v>
      </c>
      <c r="AE79" s="125">
        <v>15.664441848005406</v>
      </c>
      <c r="AF79" s="125">
        <v>1.3112971720300028</v>
      </c>
      <c r="AG79" s="125">
        <v>0.23739635733987557</v>
      </c>
      <c r="AH79" s="125">
        <v>417.06447934980531</v>
      </c>
      <c r="AI79" s="125">
        <v>0.81553476603403474</v>
      </c>
      <c r="AJ79" s="125">
        <v>126.59715177639889</v>
      </c>
      <c r="AK79" s="125">
        <v>1.748939444088113</v>
      </c>
      <c r="AL79" s="125">
        <v>7.7338262471902827E-2</v>
      </c>
      <c r="AM79" s="125">
        <v>4.2095177109648132</v>
      </c>
      <c r="AN79" s="125">
        <f t="shared" si="1"/>
        <v>0.4368421771761431</v>
      </c>
    </row>
    <row r="80" spans="1:40">
      <c r="A80" s="125" t="s">
        <v>44</v>
      </c>
      <c r="B80" s="125" t="s">
        <v>64</v>
      </c>
      <c r="C80" s="125">
        <v>7155</v>
      </c>
      <c r="D80" s="125">
        <v>21.809349999999998</v>
      </c>
      <c r="E80" s="125">
        <v>511.4</v>
      </c>
      <c r="F80" s="125">
        <v>333.15</v>
      </c>
      <c r="G80" s="125">
        <v>0.99</v>
      </c>
      <c r="H80" s="125">
        <v>1.34</v>
      </c>
      <c r="I80" s="125">
        <v>1065.066</v>
      </c>
      <c r="J80" s="125">
        <v>396.83530000000002</v>
      </c>
      <c r="K80" s="125">
        <v>0.99</v>
      </c>
      <c r="L80" s="125">
        <v>1.34</v>
      </c>
      <c r="M80" s="125">
        <v>100.80644314768693</v>
      </c>
      <c r="N80" s="125">
        <v>1.0641345759420793</v>
      </c>
      <c r="O80" s="125">
        <v>1584.9373669049596</v>
      </c>
      <c r="P80" s="125">
        <v>15.722580000000001</v>
      </c>
      <c r="Q80" s="125">
        <v>16.875338041213595</v>
      </c>
      <c r="R80" s="125">
        <v>3.8657126069342818</v>
      </c>
      <c r="S80" s="125">
        <v>3.1846299223779866</v>
      </c>
      <c r="T80" s="125">
        <v>2.2109771084843057</v>
      </c>
      <c r="U80" s="125">
        <v>1.8214349004479888</v>
      </c>
      <c r="X80" s="125">
        <v>4.0671880190464682</v>
      </c>
      <c r="Y80" s="125">
        <v>7.1111455381726332</v>
      </c>
      <c r="Z80" s="125">
        <v>0.931689780767752</v>
      </c>
      <c r="AA80" s="125">
        <v>0.9</v>
      </c>
      <c r="AC80" s="125">
        <v>2.0826476339460305</v>
      </c>
      <c r="AD80" s="125">
        <v>553.66600000000005</v>
      </c>
      <c r="AE80" s="125">
        <v>15.98341728599501</v>
      </c>
      <c r="AF80" s="125">
        <v>1.3130927087386191</v>
      </c>
      <c r="AG80" s="125">
        <v>0.23843914953985362</v>
      </c>
      <c r="AH80" s="125">
        <v>409.99875781296129</v>
      </c>
      <c r="AI80" s="125">
        <v>0.80171833753023325</v>
      </c>
      <c r="AJ80" s="125">
        <v>124.45239894776165</v>
      </c>
      <c r="AK80" s="125">
        <v>1.7845531436127047</v>
      </c>
      <c r="AL80" s="125">
        <v>7.8913103528143305E-2</v>
      </c>
      <c r="AM80" s="125">
        <v>4.2952362299269797</v>
      </c>
      <c r="AN80" s="125">
        <f t="shared" si="1"/>
        <v>0.45178730653895377</v>
      </c>
    </row>
    <row r="81" spans="1:40">
      <c r="A81" s="125" t="s">
        <v>44</v>
      </c>
      <c r="B81" s="125" t="s">
        <v>64</v>
      </c>
      <c r="C81" s="125">
        <v>7155</v>
      </c>
      <c r="D81" s="125">
        <v>21.809349999999998</v>
      </c>
      <c r="E81" s="125">
        <v>511.4</v>
      </c>
      <c r="F81" s="125">
        <v>333.15</v>
      </c>
      <c r="G81" s="125">
        <v>0.99</v>
      </c>
      <c r="H81" s="125">
        <v>1.34</v>
      </c>
      <c r="I81" s="125">
        <v>1025.8900000000001</v>
      </c>
      <c r="J81" s="125">
        <v>394.52499999999998</v>
      </c>
      <c r="K81" s="125">
        <v>0.99</v>
      </c>
      <c r="L81" s="125">
        <v>1.34</v>
      </c>
      <c r="M81" s="125">
        <v>95.370154352126434</v>
      </c>
      <c r="N81" s="125">
        <v>1.0446443086787864</v>
      </c>
      <c r="O81" s="125">
        <v>1580.4617998033737</v>
      </c>
      <c r="P81" s="125">
        <v>16.571870000000001</v>
      </c>
      <c r="Q81" s="125">
        <v>17.786896821326167</v>
      </c>
      <c r="R81" s="125">
        <v>4.0745276398323949</v>
      </c>
      <c r="S81" s="125">
        <v>3.5379719102682103</v>
      </c>
      <c r="T81" s="125">
        <v>2.4053147047038421</v>
      </c>
      <c r="U81" s="125">
        <v>2.088569918486876</v>
      </c>
      <c r="X81" s="125">
        <v>4.0671880190464682</v>
      </c>
      <c r="Y81" s="125">
        <v>6.8896888908515761</v>
      </c>
      <c r="Z81" s="125">
        <v>0.931689780767752</v>
      </c>
      <c r="AA81" s="125">
        <v>0.9</v>
      </c>
      <c r="AC81" s="125">
        <v>2.0060422369964805</v>
      </c>
      <c r="AD81" s="125">
        <v>514.49000000000012</v>
      </c>
      <c r="AE81" s="125">
        <v>16.8467969900145</v>
      </c>
      <c r="AF81" s="125">
        <v>1.3208081728143088</v>
      </c>
      <c r="AG81" s="125">
        <v>0.24288778599147187</v>
      </c>
      <c r="AH81" s="125">
        <v>387.88834915558101</v>
      </c>
      <c r="AI81" s="125">
        <v>0.75848327953770245</v>
      </c>
      <c r="AJ81" s="125">
        <v>117.74093129892152</v>
      </c>
      <c r="AK81" s="125">
        <v>1.8809497362418302</v>
      </c>
      <c r="AL81" s="125">
        <v>8.3175769686968173E-2</v>
      </c>
      <c r="AM81" s="125">
        <v>4.5272529331471052</v>
      </c>
      <c r="AN81" s="125">
        <f t="shared" si="1"/>
        <v>0.49762351100481461</v>
      </c>
    </row>
    <row r="82" spans="1:40">
      <c r="A82" s="125" t="s">
        <v>44</v>
      </c>
      <c r="B82" s="125" t="s">
        <v>64</v>
      </c>
      <c r="C82" s="125">
        <v>7155</v>
      </c>
      <c r="D82" s="125">
        <v>21.809349999999998</v>
      </c>
      <c r="E82" s="125">
        <v>511.4</v>
      </c>
      <c r="F82" s="125">
        <v>333.15</v>
      </c>
      <c r="G82" s="125">
        <v>0.99</v>
      </c>
      <c r="H82" s="125">
        <v>1.34</v>
      </c>
      <c r="I82" s="125">
        <v>1005.092</v>
      </c>
      <c r="J82" s="125">
        <v>393.45740000000001</v>
      </c>
      <c r="K82" s="125">
        <v>0.99</v>
      </c>
      <c r="L82" s="125">
        <v>1.34</v>
      </c>
      <c r="M82" s="125">
        <v>92.435496047340749</v>
      </c>
      <c r="N82" s="125">
        <v>1.0304232110562137</v>
      </c>
      <c r="O82" s="125">
        <v>1566.8426654298169</v>
      </c>
      <c r="P82" s="125">
        <v>16.950659999999999</v>
      </c>
      <c r="Q82" s="125">
        <v>18.193459185558453</v>
      </c>
      <c r="R82" s="125">
        <v>4.1676607819999418</v>
      </c>
      <c r="S82" s="125">
        <v>3.7015581005154736</v>
      </c>
      <c r="T82" s="125">
        <v>2.5044085100031097</v>
      </c>
      <c r="U82" s="125">
        <v>2.2243205702440556</v>
      </c>
      <c r="X82" s="125">
        <v>4.0671880190464682</v>
      </c>
      <c r="Y82" s="125">
        <v>6.7683287020850091</v>
      </c>
      <c r="Z82" s="125">
        <v>0.931689780767752</v>
      </c>
      <c r="AA82" s="125">
        <v>0.9</v>
      </c>
      <c r="AC82" s="125">
        <v>1.9653734845522097</v>
      </c>
      <c r="AD82" s="125">
        <v>493.69200000000001</v>
      </c>
      <c r="AE82" s="125">
        <v>17.231871108496456</v>
      </c>
      <c r="AF82" s="125">
        <v>1.3266821165660245</v>
      </c>
      <c r="AG82" s="125">
        <v>0.24623993380690654</v>
      </c>
      <c r="AH82" s="125">
        <v>375.95254205836147</v>
      </c>
      <c r="AI82" s="125">
        <v>0.7351438053546373</v>
      </c>
      <c r="AJ82" s="125">
        <v>114.11789635474166</v>
      </c>
      <c r="AK82" s="125">
        <v>1.9239433724814963</v>
      </c>
      <c r="AL82" s="125">
        <v>8.5076952220968657E-2</v>
      </c>
      <c r="AM82" s="125">
        <v>4.6307342022221576</v>
      </c>
      <c r="AN82" s="125">
        <f t="shared" si="1"/>
        <v>0.52190844922654955</v>
      </c>
    </row>
    <row r="83" spans="1:40">
      <c r="A83" s="125" t="s">
        <v>44</v>
      </c>
      <c r="B83" s="125" t="s">
        <v>64</v>
      </c>
      <c r="C83" s="125">
        <v>7155</v>
      </c>
      <c r="D83" s="125">
        <v>21.809349999999998</v>
      </c>
      <c r="E83" s="125">
        <v>511.4</v>
      </c>
      <c r="F83" s="125">
        <v>333.15</v>
      </c>
      <c r="G83" s="125">
        <v>0.99</v>
      </c>
      <c r="H83" s="125">
        <v>1.34</v>
      </c>
      <c r="I83" s="125">
        <v>962.4833000000001</v>
      </c>
      <c r="J83" s="125">
        <v>391.46260000000001</v>
      </c>
      <c r="K83" s="125">
        <v>0.99</v>
      </c>
      <c r="L83" s="125">
        <v>1.34</v>
      </c>
      <c r="M83" s="125">
        <v>86.283941675992139</v>
      </c>
      <c r="N83" s="125">
        <v>0.99475248531110938</v>
      </c>
      <c r="O83" s="125">
        <v>1519.0762493737634</v>
      </c>
      <c r="P83" s="125">
        <v>17.605550000000001</v>
      </c>
      <c r="Q83" s="125">
        <v>18.896364823806781</v>
      </c>
      <c r="R83" s="125">
        <v>4.3286786638714414</v>
      </c>
      <c r="S83" s="125">
        <v>3.9931032420257422</v>
      </c>
      <c r="T83" s="125">
        <v>2.7025474449521383</v>
      </c>
      <c r="U83" s="125">
        <v>2.4930358204309688</v>
      </c>
      <c r="X83" s="125">
        <v>4.0671880190464682</v>
      </c>
      <c r="Y83" s="125">
        <v>6.5144277236960004</v>
      </c>
      <c r="Z83" s="125">
        <v>0.931689780767752</v>
      </c>
      <c r="AA83" s="125">
        <v>0.9</v>
      </c>
      <c r="AC83" s="125">
        <v>1.8820557293703561</v>
      </c>
      <c r="AD83" s="125">
        <v>451.08330000000012</v>
      </c>
      <c r="AE83" s="125">
        <v>17.897625720425623</v>
      </c>
      <c r="AF83" s="125">
        <v>1.3424076978280826</v>
      </c>
      <c r="AG83" s="125">
        <v>0.25506982594190508</v>
      </c>
      <c r="AH83" s="125">
        <v>350.9330138206995</v>
      </c>
      <c r="AI83" s="125">
        <v>0.68622020692354235</v>
      </c>
      <c r="AJ83" s="125">
        <v>106.52338478517548</v>
      </c>
      <c r="AK83" s="125">
        <v>1.9982750666576767</v>
      </c>
      <c r="AL83" s="125">
        <v>8.8363906548410212E-2</v>
      </c>
      <c r="AM83" s="125">
        <v>4.8096429598571566</v>
      </c>
      <c r="AN83" s="125">
        <f t="shared" si="1"/>
        <v>0.57306736696708171</v>
      </c>
    </row>
    <row r="84" spans="1:40">
      <c r="A84" s="125" t="s">
        <v>44</v>
      </c>
      <c r="B84" s="125" t="s">
        <v>64</v>
      </c>
      <c r="C84" s="125">
        <v>7155</v>
      </c>
      <c r="D84" s="125">
        <v>21.809349999999998</v>
      </c>
      <c r="E84" s="125">
        <v>511.4</v>
      </c>
      <c r="F84" s="125">
        <v>333.15</v>
      </c>
      <c r="G84" s="125">
        <v>0.99</v>
      </c>
      <c r="H84" s="125">
        <v>1.34</v>
      </c>
      <c r="I84" s="125">
        <v>939.56140000000005</v>
      </c>
      <c r="J84" s="125">
        <v>390.47579999999999</v>
      </c>
      <c r="K84" s="125">
        <v>0.99</v>
      </c>
      <c r="L84" s="125">
        <v>1.34</v>
      </c>
      <c r="M84" s="125">
        <v>82.887635391202195</v>
      </c>
      <c r="N84" s="125">
        <v>0.97204660614645855</v>
      </c>
      <c r="O84" s="125">
        <v>1483.4872565485189</v>
      </c>
      <c r="P84" s="125">
        <v>17.897570000000002</v>
      </c>
      <c r="Q84" s="125">
        <v>19.209795330428165</v>
      </c>
      <c r="R84" s="125">
        <v>4.4004776558611116</v>
      </c>
      <c r="S84" s="125">
        <v>4.1266675634234202</v>
      </c>
      <c r="T84" s="125">
        <v>2.8073055432798344</v>
      </c>
      <c r="U84" s="125">
        <v>2.6326270991608225</v>
      </c>
      <c r="X84" s="125">
        <v>4.0671880190464682</v>
      </c>
      <c r="Y84" s="125">
        <v>6.3753552023731244</v>
      </c>
      <c r="Z84" s="125">
        <v>0.931689780767752</v>
      </c>
      <c r="AA84" s="125">
        <v>0.9</v>
      </c>
      <c r="AC84" s="125">
        <v>1.8372338678138445</v>
      </c>
      <c r="AD84" s="125">
        <v>428.16140000000007</v>
      </c>
      <c r="AE84" s="125">
        <v>18.194490326352657</v>
      </c>
      <c r="AF84" s="125">
        <v>1.3532311735550835</v>
      </c>
      <c r="AG84" s="125">
        <v>0.26102796067512052</v>
      </c>
      <c r="AH84" s="125">
        <v>337.11959759018958</v>
      </c>
      <c r="AI84" s="125">
        <v>0.65920922485371447</v>
      </c>
      <c r="AJ84" s="125">
        <v>102.33041406321257</v>
      </c>
      <c r="AK84" s="125">
        <v>2.0314200854139992</v>
      </c>
      <c r="AL84" s="125">
        <v>8.9829582314874007E-2</v>
      </c>
      <c r="AM84" s="125">
        <v>4.8894196176234574</v>
      </c>
      <c r="AN84" s="125">
        <f t="shared" si="1"/>
        <v>0.60192858122679238</v>
      </c>
    </row>
    <row r="85" spans="1:40">
      <c r="A85" s="125" t="s">
        <v>44</v>
      </c>
      <c r="B85" s="125" t="s">
        <v>64</v>
      </c>
      <c r="C85" s="125">
        <v>7155</v>
      </c>
      <c r="D85" s="125">
        <v>21.809349999999998</v>
      </c>
      <c r="E85" s="125">
        <v>511.4</v>
      </c>
      <c r="F85" s="125">
        <v>333.15</v>
      </c>
      <c r="G85" s="125">
        <v>0.99</v>
      </c>
      <c r="H85" s="125">
        <v>1.34</v>
      </c>
      <c r="I85" s="125">
        <v>897.91070000000013</v>
      </c>
      <c r="J85" s="125">
        <v>388.79629999999997</v>
      </c>
      <c r="K85" s="125">
        <v>0.99</v>
      </c>
      <c r="L85" s="125">
        <v>1.34</v>
      </c>
      <c r="M85" s="125">
        <v>76.539363311812892</v>
      </c>
      <c r="N85" s="125">
        <v>0.92468968828959053</v>
      </c>
      <c r="O85" s="125">
        <v>1405.7158234356905</v>
      </c>
      <c r="P85" s="125">
        <v>18.365919999999999</v>
      </c>
      <c r="Q85" s="125">
        <v>19.712484111251815</v>
      </c>
      <c r="R85" s="125">
        <v>4.5156309258370104</v>
      </c>
      <c r="S85" s="125">
        <v>4.345469654313848</v>
      </c>
      <c r="T85" s="125">
        <v>3.0014307055193501</v>
      </c>
      <c r="U85" s="125">
        <v>2.8883286221941575</v>
      </c>
      <c r="X85" s="125">
        <v>4.0671880190464682</v>
      </c>
      <c r="Y85" s="125">
        <v>6.1190551446771009</v>
      </c>
      <c r="Z85" s="125">
        <v>0.931689780767752</v>
      </c>
      <c r="AA85" s="125">
        <v>0.9</v>
      </c>
      <c r="AC85" s="125">
        <v>1.7557894016425502</v>
      </c>
      <c r="AD85" s="125">
        <v>386.51070000000016</v>
      </c>
      <c r="AE85" s="125">
        <v>18.670610243433426</v>
      </c>
      <c r="AF85" s="125">
        <v>1.378162586652544</v>
      </c>
      <c r="AG85" s="125">
        <v>0.27439620717833679</v>
      </c>
      <c r="AH85" s="125">
        <v>311.29998144725022</v>
      </c>
      <c r="AI85" s="125">
        <v>0.60872112132821721</v>
      </c>
      <c r="AJ85" s="125">
        <v>94.49304112569493</v>
      </c>
      <c r="AK85" s="125">
        <v>2.0845790112907325</v>
      </c>
      <c r="AL85" s="125">
        <v>9.2180274888065294E-2</v>
      </c>
      <c r="AM85" s="125">
        <v>5.0173676953744559</v>
      </c>
      <c r="AN85" s="125">
        <f t="shared" si="1"/>
        <v>0.65948016236994456</v>
      </c>
    </row>
    <row r="86" spans="1:40">
      <c r="A86" s="125" t="s">
        <v>44</v>
      </c>
      <c r="B86" s="125" t="s">
        <v>64</v>
      </c>
      <c r="C86" s="125">
        <v>7155</v>
      </c>
      <c r="D86" s="125">
        <v>21.809349999999998</v>
      </c>
      <c r="E86" s="125">
        <v>511.4</v>
      </c>
      <c r="F86" s="125">
        <v>333.15</v>
      </c>
      <c r="G86" s="125">
        <v>0.99</v>
      </c>
      <c r="H86" s="125">
        <v>1.34</v>
      </c>
      <c r="I86" s="125">
        <v>874.61970000000008</v>
      </c>
      <c r="J86" s="125">
        <v>387.899</v>
      </c>
      <c r="K86" s="125">
        <v>0.99</v>
      </c>
      <c r="L86" s="125">
        <v>1.34</v>
      </c>
      <c r="M86" s="125">
        <v>72.879507172020539</v>
      </c>
      <c r="N86" s="125">
        <v>0.89490451292406115</v>
      </c>
      <c r="O86" s="125">
        <v>1355.7432185527273</v>
      </c>
      <c r="P86" s="125">
        <v>18.602530000000002</v>
      </c>
      <c r="Q86" s="125">
        <v>19.966442032530104</v>
      </c>
      <c r="R86" s="125">
        <v>4.5738062545633857</v>
      </c>
      <c r="S86" s="125">
        <v>4.4581571383473459</v>
      </c>
      <c r="T86" s="125">
        <v>3.1138527745041973</v>
      </c>
      <c r="U86" s="125">
        <v>3.0351187177130998</v>
      </c>
      <c r="X86" s="125">
        <v>4.0671880190464682</v>
      </c>
      <c r="Y86" s="125">
        <v>5.9741199559320801</v>
      </c>
      <c r="Z86" s="125">
        <v>0.931689780767752</v>
      </c>
      <c r="AA86" s="125">
        <v>0.9</v>
      </c>
      <c r="AC86" s="125">
        <v>1.7102457958545172</v>
      </c>
      <c r="AD86" s="125">
        <v>363.2197000000001</v>
      </c>
      <c r="AE86" s="125">
        <v>18.911145598574841</v>
      </c>
      <c r="AF86" s="125">
        <v>1.3957298204256665</v>
      </c>
      <c r="AG86" s="125">
        <v>0.28352895713367915</v>
      </c>
      <c r="AH86" s="125">
        <v>296.41465840405311</v>
      </c>
      <c r="AI86" s="125">
        <v>0.57961411498641591</v>
      </c>
      <c r="AJ86" s="125">
        <v>89.974700212371033</v>
      </c>
      <c r="AK86" s="125">
        <v>2.1114348529725815</v>
      </c>
      <c r="AL86" s="125">
        <v>9.3367842668022144E-2</v>
      </c>
      <c r="AM86" s="125">
        <v>5.0820069495148728</v>
      </c>
      <c r="AN86" s="125">
        <f t="shared" si="1"/>
        <v>0.69575047698716241</v>
      </c>
    </row>
    <row r="87" spans="1:40">
      <c r="A87" s="125" t="s">
        <v>44</v>
      </c>
      <c r="B87" s="125" t="s">
        <v>64</v>
      </c>
      <c r="C87" s="125">
        <v>7155</v>
      </c>
      <c r="D87" s="125">
        <v>21.809349999999998</v>
      </c>
      <c r="E87" s="125">
        <v>511.4</v>
      </c>
      <c r="F87" s="125">
        <v>333.15</v>
      </c>
      <c r="G87" s="125">
        <v>0.99</v>
      </c>
      <c r="H87" s="125">
        <v>1.34</v>
      </c>
      <c r="I87" s="125">
        <v>829.72169999999994</v>
      </c>
      <c r="J87" s="125">
        <v>386.27730000000003</v>
      </c>
      <c r="K87" s="125">
        <v>0.99</v>
      </c>
      <c r="L87" s="125">
        <v>1.34</v>
      </c>
      <c r="M87" s="125">
        <v>65.581633502122031</v>
      </c>
      <c r="N87" s="125">
        <v>0.82987359605241406</v>
      </c>
      <c r="O87" s="125">
        <v>1246.9167141025466</v>
      </c>
      <c r="P87" s="125">
        <v>19.013200000000001</v>
      </c>
      <c r="Q87" s="125">
        <v>20.407221794718318</v>
      </c>
      <c r="R87" s="125">
        <v>4.6747777361071075</v>
      </c>
      <c r="S87" s="125">
        <v>4.6571666425237064</v>
      </c>
      <c r="T87" s="125">
        <v>3.3407856515629937</v>
      </c>
      <c r="U87" s="125">
        <v>3.3282000502632076</v>
      </c>
      <c r="X87" s="125">
        <v>4.0671880190464682</v>
      </c>
      <c r="Y87" s="125">
        <v>5.6912361291735776</v>
      </c>
      <c r="Z87" s="125">
        <v>0.931689780767752</v>
      </c>
      <c r="AA87" s="125">
        <v>0.9</v>
      </c>
      <c r="AC87" s="125">
        <v>1.6224515056707078</v>
      </c>
      <c r="AD87" s="125">
        <v>318.32169999999996</v>
      </c>
      <c r="AE87" s="125">
        <v>19.328628605615645</v>
      </c>
      <c r="AF87" s="125">
        <v>1.4403970409463926</v>
      </c>
      <c r="AG87" s="125">
        <v>0.30574697699811709</v>
      </c>
      <c r="AH87" s="125">
        <v>266.73283404932721</v>
      </c>
      <c r="AI87" s="125">
        <v>0.52157378578280644</v>
      </c>
      <c r="AJ87" s="125">
        <v>80.96497963224941</v>
      </c>
      <c r="AK87" s="125">
        <v>2.1580469509544287</v>
      </c>
      <c r="AL87" s="125">
        <v>9.5429033911819464E-2</v>
      </c>
      <c r="AM87" s="125">
        <v>5.1941974845634524</v>
      </c>
      <c r="AN87" s="125">
        <f t="shared" si="1"/>
        <v>0.77757029895580987</v>
      </c>
    </row>
    <row r="88" spans="1:40">
      <c r="A88" s="125" t="s">
        <v>44</v>
      </c>
      <c r="B88" s="125" t="s">
        <v>64</v>
      </c>
      <c r="C88" s="125">
        <v>7155</v>
      </c>
      <c r="D88" s="125">
        <v>21.809349999999998</v>
      </c>
      <c r="E88" s="125">
        <v>511.4</v>
      </c>
      <c r="F88" s="125">
        <v>333.15</v>
      </c>
      <c r="G88" s="125">
        <v>0.99</v>
      </c>
      <c r="H88" s="125">
        <v>1.34</v>
      </c>
      <c r="I88" s="125">
        <v>806.2632000000001</v>
      </c>
      <c r="J88" s="125">
        <v>385.45819999999998</v>
      </c>
      <c r="K88" s="125">
        <v>0.99</v>
      </c>
      <c r="L88" s="125">
        <v>1.34</v>
      </c>
      <c r="M88" s="125">
        <v>61.627957918012328</v>
      </c>
      <c r="N88" s="125">
        <v>0.79205522616869339</v>
      </c>
      <c r="O88" s="125">
        <v>1183.7109900756925</v>
      </c>
      <c r="P88" s="125">
        <v>19.207370000000001</v>
      </c>
      <c r="Q88" s="125">
        <v>20.615628073297437</v>
      </c>
      <c r="R88" s="125">
        <v>4.7225183370064787</v>
      </c>
      <c r="S88" s="125">
        <v>4.7527738503969141</v>
      </c>
      <c r="T88" s="125">
        <v>3.4657322697755193</v>
      </c>
      <c r="U88" s="125">
        <v>3.4879359970271797</v>
      </c>
      <c r="X88" s="125">
        <v>4.0671880190464682</v>
      </c>
      <c r="Y88" s="125">
        <v>5.5420812990970276</v>
      </c>
      <c r="Z88" s="125">
        <v>0.931689780767752</v>
      </c>
      <c r="AA88" s="125">
        <v>0.9</v>
      </c>
      <c r="AC88" s="125">
        <v>1.576580367618303</v>
      </c>
      <c r="AD88" s="125">
        <v>294.86320000000012</v>
      </c>
      <c r="AE88" s="125">
        <v>19.526019882010583</v>
      </c>
      <c r="AF88" s="125">
        <v>1.4713358469695341</v>
      </c>
      <c r="AG88" s="125">
        <v>0.32034551998466582</v>
      </c>
      <c r="AH88" s="125">
        <v>250.65249208243969</v>
      </c>
      <c r="AI88" s="125">
        <v>0.49013001971536896</v>
      </c>
      <c r="AJ88" s="125">
        <v>76.083898664212754</v>
      </c>
      <c r="AK88" s="125">
        <v>2.1800857438176404</v>
      </c>
      <c r="AL88" s="125">
        <v>9.6403591351632734E-2</v>
      </c>
      <c r="AM88" s="125">
        <v>5.2472425966738649</v>
      </c>
      <c r="AN88" s="125">
        <f t="shared" si="1"/>
        <v>0.8290276243408139</v>
      </c>
    </row>
    <row r="89" spans="1:40">
      <c r="A89" s="125" t="s">
        <v>44</v>
      </c>
      <c r="B89" s="125" t="s">
        <v>64</v>
      </c>
      <c r="C89" s="125">
        <v>7155</v>
      </c>
      <c r="D89" s="125">
        <v>21.809349999999998</v>
      </c>
      <c r="E89" s="125">
        <v>511.4</v>
      </c>
      <c r="F89" s="125">
        <v>333.15</v>
      </c>
      <c r="G89" s="125">
        <v>0.99</v>
      </c>
      <c r="H89" s="125">
        <v>1.34</v>
      </c>
      <c r="I89" s="125">
        <v>761.02409999999998</v>
      </c>
      <c r="J89" s="125">
        <v>383.94049999999999</v>
      </c>
      <c r="K89" s="125">
        <v>0.99</v>
      </c>
      <c r="L89" s="125">
        <v>1.34</v>
      </c>
      <c r="M89" s="125">
        <v>53.702450371798108</v>
      </c>
      <c r="N89" s="125">
        <v>0.71081907939930233</v>
      </c>
      <c r="O89" s="125">
        <v>1049.4591924352196</v>
      </c>
      <c r="P89" s="125">
        <v>19.542110000000001</v>
      </c>
      <c r="Q89" s="125">
        <v>20.974910751834663</v>
      </c>
      <c r="R89" s="125">
        <v>4.8048209004563187</v>
      </c>
      <c r="S89" s="125">
        <v>4.919877076937242</v>
      </c>
      <c r="T89" s="125">
        <v>3.7210338950474933</v>
      </c>
      <c r="U89" s="125">
        <v>3.8101377225136579</v>
      </c>
      <c r="X89" s="125">
        <v>4.0671880190464682</v>
      </c>
      <c r="Y89" s="125">
        <v>5.2517957511780677</v>
      </c>
      <c r="Z89" s="125">
        <v>0.931689780767752</v>
      </c>
      <c r="AA89" s="125">
        <v>0.9</v>
      </c>
      <c r="AC89" s="125">
        <v>1.4881190848650763</v>
      </c>
      <c r="AD89" s="125">
        <v>249.6241</v>
      </c>
      <c r="AE89" s="125">
        <v>19.866313211878456</v>
      </c>
      <c r="AF89" s="125">
        <v>1.5551042463745852</v>
      </c>
      <c r="AG89" s="125">
        <v>0.35695629258855144</v>
      </c>
      <c r="AH89" s="125">
        <v>218.41796274561486</v>
      </c>
      <c r="AI89" s="125">
        <v>0.42709808906064695</v>
      </c>
      <c r="AJ89" s="125">
        <v>66.299321446664322</v>
      </c>
      <c r="AK89" s="125">
        <v>2.2180795921105361</v>
      </c>
      <c r="AL89" s="125">
        <v>9.8083682804499292E-2</v>
      </c>
      <c r="AM89" s="125">
        <v>5.3386898893959094</v>
      </c>
      <c r="AN89" s="125">
        <f t="shared" si="1"/>
        <v>0.95479681366691482</v>
      </c>
    </row>
    <row r="90" spans="1:40">
      <c r="A90" s="125" t="s">
        <v>44</v>
      </c>
      <c r="B90" s="125" t="s">
        <v>64</v>
      </c>
      <c r="C90" s="125">
        <v>6757.5</v>
      </c>
      <c r="D90" s="125">
        <v>21.809349999999998</v>
      </c>
      <c r="E90" s="125">
        <v>511.4</v>
      </c>
      <c r="F90" s="125">
        <v>333.15</v>
      </c>
      <c r="G90" s="125">
        <v>0.99</v>
      </c>
      <c r="H90" s="125">
        <v>1.34</v>
      </c>
      <c r="I90" s="125">
        <v>1094.481</v>
      </c>
      <c r="J90" s="125">
        <v>400.11829999999998</v>
      </c>
      <c r="K90" s="125">
        <v>0.99</v>
      </c>
      <c r="L90" s="125">
        <v>1.34</v>
      </c>
      <c r="M90" s="125">
        <v>104.99433792578938</v>
      </c>
      <c r="N90" s="125">
        <v>1.0540083878121937</v>
      </c>
      <c r="O90" s="125">
        <v>1057.2635844980798</v>
      </c>
      <c r="P90" s="125">
        <v>10.06972</v>
      </c>
      <c r="Q90" s="125">
        <v>10.808018084841633</v>
      </c>
      <c r="R90" s="125">
        <v>2.4758432491549272</v>
      </c>
      <c r="S90" s="125">
        <v>1.3063096476697487</v>
      </c>
      <c r="T90" s="125">
        <v>1.389390226146807</v>
      </c>
      <c r="U90" s="125">
        <v>0.73307300751496596</v>
      </c>
      <c r="X90" s="125">
        <v>4.0671880190464682</v>
      </c>
      <c r="Y90" s="125">
        <v>7.2475822922163013</v>
      </c>
      <c r="Z90" s="125">
        <v>0.931689780767752</v>
      </c>
      <c r="AA90" s="125">
        <v>0.85</v>
      </c>
      <c r="AC90" s="125">
        <v>2.1401662104028158</v>
      </c>
      <c r="AD90" s="125">
        <v>583.08100000000002</v>
      </c>
      <c r="AE90" s="125">
        <v>10.236776452282621</v>
      </c>
      <c r="AF90" s="125">
        <v>1.3170543813774365</v>
      </c>
      <c r="AG90" s="125">
        <v>0.24072990900029984</v>
      </c>
      <c r="AH90" s="125">
        <v>427.03171327948684</v>
      </c>
      <c r="AI90" s="125">
        <v>0.83502485975652496</v>
      </c>
      <c r="AJ90" s="125">
        <v>145.32088294226904</v>
      </c>
      <c r="AK90" s="125">
        <v>1.1429390393497585</v>
      </c>
      <c r="AL90" s="125">
        <v>5.0540869046900389E-2</v>
      </c>
      <c r="AM90" s="125">
        <v>2.9127567637116791</v>
      </c>
      <c r="AN90" s="125">
        <f t="shared" si="1"/>
        <v>0.28061006868936078</v>
      </c>
    </row>
    <row r="91" spans="1:40">
      <c r="A91" s="125" t="s">
        <v>44</v>
      </c>
      <c r="B91" s="125" t="s">
        <v>64</v>
      </c>
      <c r="C91" s="125">
        <v>6757.5</v>
      </c>
      <c r="D91" s="125">
        <v>21.809349999999998</v>
      </c>
      <c r="E91" s="125">
        <v>511.4</v>
      </c>
      <c r="F91" s="125">
        <v>333.15</v>
      </c>
      <c r="G91" s="125">
        <v>0.99</v>
      </c>
      <c r="H91" s="125">
        <v>1.34</v>
      </c>
      <c r="I91" s="125">
        <v>1093.0709999999999</v>
      </c>
      <c r="J91" s="125">
        <v>399.75959999999998</v>
      </c>
      <c r="K91" s="125">
        <v>0.99</v>
      </c>
      <c r="L91" s="125">
        <v>1.34</v>
      </c>
      <c r="M91" s="125">
        <v>104.76802956758222</v>
      </c>
      <c r="N91" s="125">
        <v>1.0574002589804214</v>
      </c>
      <c r="O91" s="125">
        <v>1073.1378791804491</v>
      </c>
      <c r="P91" s="125">
        <v>10.242990000000001</v>
      </c>
      <c r="Q91" s="125">
        <v>10.993992004033082</v>
      </c>
      <c r="R91" s="125">
        <v>2.5184451645787003</v>
      </c>
      <c r="S91" s="125">
        <v>1.3516518477085566</v>
      </c>
      <c r="T91" s="125">
        <v>1.4138519489878716</v>
      </c>
      <c r="U91" s="125">
        <v>0.75881564789022893</v>
      </c>
      <c r="X91" s="125">
        <v>4.0671880190464682</v>
      </c>
      <c r="Y91" s="125">
        <v>7.2447401634468216</v>
      </c>
      <c r="Z91" s="125">
        <v>0.931689780767752</v>
      </c>
      <c r="AA91" s="125">
        <v>0.85</v>
      </c>
      <c r="AC91" s="125">
        <v>2.1374090731325772</v>
      </c>
      <c r="AD91" s="125">
        <v>581.67099999999994</v>
      </c>
      <c r="AE91" s="125">
        <v>10.412920998097897</v>
      </c>
      <c r="AF91" s="125">
        <v>1.3157162586829412</v>
      </c>
      <c r="AG91" s="125">
        <v>0.23995770866203295</v>
      </c>
      <c r="AH91" s="125">
        <v>426.11127463637655</v>
      </c>
      <c r="AI91" s="125">
        <v>0.83322501884312983</v>
      </c>
      <c r="AJ91" s="125">
        <v>145.00765338073663</v>
      </c>
      <c r="AK91" s="125">
        <v>1.1626056286241506</v>
      </c>
      <c r="AL91" s="125">
        <v>5.1410527426652405E-2</v>
      </c>
      <c r="AM91" s="125">
        <v>2.9628766642102358</v>
      </c>
      <c r="AN91" s="125">
        <f t="shared" si="1"/>
        <v>0.28584657179179407</v>
      </c>
    </row>
    <row r="92" spans="1:40">
      <c r="A92" s="125" t="s">
        <v>44</v>
      </c>
      <c r="B92" s="125" t="s">
        <v>64</v>
      </c>
      <c r="C92" s="125">
        <v>6757.5</v>
      </c>
      <c r="D92" s="125">
        <v>21.809349999999998</v>
      </c>
      <c r="E92" s="125">
        <v>511.4</v>
      </c>
      <c r="F92" s="125">
        <v>333.15</v>
      </c>
      <c r="G92" s="125">
        <v>0.99</v>
      </c>
      <c r="H92" s="125">
        <v>1.34</v>
      </c>
      <c r="I92" s="125">
        <v>1087.2070000000001</v>
      </c>
      <c r="J92" s="125">
        <v>398.63409999999999</v>
      </c>
      <c r="K92" s="125">
        <v>0.99</v>
      </c>
      <c r="L92" s="125">
        <v>1.34</v>
      </c>
      <c r="M92" s="125">
        <v>103.87514964072652</v>
      </c>
      <c r="N92" s="125">
        <v>1.0664076737043269</v>
      </c>
      <c r="O92" s="125">
        <v>1117.9864218017151</v>
      </c>
      <c r="P92" s="125">
        <v>10.762790000000001</v>
      </c>
      <c r="Q92" s="125">
        <v>11.551903028421117</v>
      </c>
      <c r="R92" s="125">
        <v>2.6462484521488343</v>
      </c>
      <c r="S92" s="125">
        <v>1.4923169715236244</v>
      </c>
      <c r="T92" s="125">
        <v>1.4894081623319773</v>
      </c>
      <c r="U92" s="125">
        <v>0.83993212215918278</v>
      </c>
      <c r="X92" s="125">
        <v>4.0671880190464682</v>
      </c>
      <c r="Y92" s="125">
        <v>7.2262192944804475</v>
      </c>
      <c r="Z92" s="125">
        <v>0.931689780767752</v>
      </c>
      <c r="AA92" s="125">
        <v>0.85</v>
      </c>
      <c r="AC92" s="125">
        <v>2.1259425107547911</v>
      </c>
      <c r="AD92" s="125">
        <v>575.80700000000013</v>
      </c>
      <c r="AE92" s="125">
        <v>10.94134446964393</v>
      </c>
      <c r="AF92" s="125">
        <v>1.3122169722258534</v>
      </c>
      <c r="AG92" s="125">
        <v>0.23793090535649308</v>
      </c>
      <c r="AH92" s="125">
        <v>422.4797640954219</v>
      </c>
      <c r="AI92" s="125">
        <v>0.82612390319793105</v>
      </c>
      <c r="AJ92" s="125">
        <v>143.77183341277026</v>
      </c>
      <c r="AK92" s="125">
        <v>1.2216042614216867</v>
      </c>
      <c r="AL92" s="125">
        <v>5.4019452374970613E-2</v>
      </c>
      <c r="AM92" s="125">
        <v>3.1132334731162756</v>
      </c>
      <c r="AN92" s="125">
        <f t="shared" si="1"/>
        <v>0.30215541577447813</v>
      </c>
    </row>
    <row r="93" spans="1:40">
      <c r="A93" s="125" t="s">
        <v>44</v>
      </c>
      <c r="B93" s="125" t="s">
        <v>64</v>
      </c>
      <c r="C93" s="125">
        <v>6757.5</v>
      </c>
      <c r="D93" s="125">
        <v>21.809349999999998</v>
      </c>
      <c r="E93" s="125">
        <v>511.4</v>
      </c>
      <c r="F93" s="125">
        <v>333.15</v>
      </c>
      <c r="G93" s="125">
        <v>0.99</v>
      </c>
      <c r="H93" s="125">
        <v>1.34</v>
      </c>
      <c r="I93" s="125">
        <v>1069.8689999999999</v>
      </c>
      <c r="J93" s="125">
        <v>396.39179999999999</v>
      </c>
      <c r="K93" s="125">
        <v>0.99</v>
      </c>
      <c r="L93" s="125">
        <v>1.34</v>
      </c>
      <c r="M93" s="125">
        <v>101.36635510715016</v>
      </c>
      <c r="N93" s="125">
        <v>1.0775491044818331</v>
      </c>
      <c r="O93" s="125">
        <v>1196.365255853078</v>
      </c>
      <c r="P93" s="125">
        <v>11.802390000000001</v>
      </c>
      <c r="Q93" s="125">
        <v>12.667725077197186</v>
      </c>
      <c r="R93" s="125">
        <v>2.9018550272891028</v>
      </c>
      <c r="S93" s="125">
        <v>1.7945322511856321</v>
      </c>
      <c r="T93" s="125">
        <v>1.650405552222898</v>
      </c>
      <c r="U93" s="125">
        <v>1.0206250702215931</v>
      </c>
      <c r="X93" s="125">
        <v>4.0671880190464682</v>
      </c>
      <c r="Y93" s="125">
        <v>7.1512059469889691</v>
      </c>
      <c r="Z93" s="125">
        <v>0.931689780767752</v>
      </c>
      <c r="AA93" s="125">
        <v>0.85</v>
      </c>
      <c r="AC93" s="125">
        <v>2.0920394994133749</v>
      </c>
      <c r="AD93" s="125">
        <v>558.46899999999994</v>
      </c>
      <c r="AE93" s="125">
        <v>11.998191412735997</v>
      </c>
      <c r="AF93" s="125">
        <v>1.307994504651766</v>
      </c>
      <c r="AG93" s="125">
        <v>0.23547079407169602</v>
      </c>
      <c r="AH93" s="125">
        <v>412.2760250262109</v>
      </c>
      <c r="AI93" s="125">
        <v>0.80617134342239127</v>
      </c>
      <c r="AJ93" s="125">
        <v>140.29945343550196</v>
      </c>
      <c r="AK93" s="125">
        <v>1.3396015270167589</v>
      </c>
      <c r="AL93" s="125">
        <v>5.9237302271607034E-2</v>
      </c>
      <c r="AM93" s="125">
        <v>3.4139470909283562</v>
      </c>
      <c r="AN93" s="125">
        <f t="shared" si="1"/>
        <v>0.33740218838839647</v>
      </c>
    </row>
    <row r="94" spans="1:40">
      <c r="A94" s="125" t="s">
        <v>44</v>
      </c>
      <c r="B94" s="125" t="s">
        <v>64</v>
      </c>
      <c r="C94" s="125">
        <v>6757.5</v>
      </c>
      <c r="D94" s="125">
        <v>21.809349999999998</v>
      </c>
      <c r="E94" s="125">
        <v>511.4</v>
      </c>
      <c r="F94" s="125">
        <v>333.15</v>
      </c>
      <c r="G94" s="125">
        <v>0.99</v>
      </c>
      <c r="H94" s="125">
        <v>1.34</v>
      </c>
      <c r="I94" s="125">
        <v>1054.3910000000001</v>
      </c>
      <c r="J94" s="125">
        <v>394.91699999999997</v>
      </c>
      <c r="K94" s="125">
        <v>0.99</v>
      </c>
      <c r="L94" s="125">
        <v>1.34</v>
      </c>
      <c r="M94" s="125">
        <v>99.174796223367295</v>
      </c>
      <c r="N94" s="125">
        <v>1.0794244986545141</v>
      </c>
      <c r="O94" s="125">
        <v>1237.4693878444612</v>
      </c>
      <c r="P94" s="125">
        <v>12.47766</v>
      </c>
      <c r="Q94" s="125">
        <v>13.392504949145065</v>
      </c>
      <c r="R94" s="125">
        <v>3.0678837421746055</v>
      </c>
      <c r="S94" s="125">
        <v>2.0057538752806643</v>
      </c>
      <c r="T94" s="125">
        <v>1.7638593152386437</v>
      </c>
      <c r="U94" s="125">
        <v>1.1531948255907718</v>
      </c>
      <c r="X94" s="125">
        <v>4.0671880190464682</v>
      </c>
      <c r="Y94" s="125">
        <v>7.0740675813545923</v>
      </c>
      <c r="Z94" s="125">
        <v>0.931689780767752</v>
      </c>
      <c r="AA94" s="125">
        <v>0.85</v>
      </c>
      <c r="AC94" s="125">
        <v>2.0617735627688698</v>
      </c>
      <c r="AD94" s="125">
        <v>542.9910000000001</v>
      </c>
      <c r="AE94" s="125">
        <v>12.684664128455285</v>
      </c>
      <c r="AF94" s="125">
        <v>1.3072949577371713</v>
      </c>
      <c r="AG94" s="125">
        <v>0.2350616866671586</v>
      </c>
      <c r="AH94" s="125">
        <v>403.36254299105445</v>
      </c>
      <c r="AI94" s="125">
        <v>0.78874177354527664</v>
      </c>
      <c r="AJ94" s="125">
        <v>137.26615394237689</v>
      </c>
      <c r="AK94" s="125">
        <v>1.4162464034484481</v>
      </c>
      <c r="AL94" s="125">
        <v>6.2626545730342764E-2</v>
      </c>
      <c r="AM94" s="125">
        <v>3.6092749907936534</v>
      </c>
      <c r="AN94" s="125">
        <f t="shared" si="1"/>
        <v>0.3627341945036362</v>
      </c>
    </row>
    <row r="95" spans="1:40">
      <c r="A95" s="125" t="s">
        <v>44</v>
      </c>
      <c r="B95" s="125" t="s">
        <v>64</v>
      </c>
      <c r="C95" s="125">
        <v>6757.5</v>
      </c>
      <c r="D95" s="125">
        <v>21.809349999999998</v>
      </c>
      <c r="E95" s="125">
        <v>511.4</v>
      </c>
      <c r="F95" s="125">
        <v>333.15</v>
      </c>
      <c r="G95" s="125">
        <v>0.99</v>
      </c>
      <c r="H95" s="125">
        <v>1.34</v>
      </c>
      <c r="I95" s="125">
        <v>1053.174</v>
      </c>
      <c r="J95" s="125">
        <v>394.81009999999998</v>
      </c>
      <c r="K95" s="125">
        <v>0.99</v>
      </c>
      <c r="L95" s="125">
        <v>1.34</v>
      </c>
      <c r="M95" s="125">
        <v>99.002721255948785</v>
      </c>
      <c r="N95" s="125">
        <v>1.0794197735048212</v>
      </c>
      <c r="O95" s="125">
        <v>1239.9754228055315</v>
      </c>
      <c r="P95" s="125">
        <v>12.524660000000001</v>
      </c>
      <c r="Q95" s="125">
        <v>13.442950924801545</v>
      </c>
      <c r="R95" s="125">
        <v>3.0794396377417401</v>
      </c>
      <c r="S95" s="125">
        <v>2.0208926076808624</v>
      </c>
      <c r="T95" s="125">
        <v>1.7720694025506423</v>
      </c>
      <c r="U95" s="125">
        <v>1.1629264987113779</v>
      </c>
      <c r="X95" s="125">
        <v>4.0671880190464682</v>
      </c>
      <c r="Y95" s="125">
        <v>7.0678157311291141</v>
      </c>
      <c r="Z95" s="125">
        <v>0.931689780767752</v>
      </c>
      <c r="AA95" s="125">
        <v>0.85</v>
      </c>
      <c r="AC95" s="125">
        <v>2.0593938208838485</v>
      </c>
      <c r="AD95" s="125">
        <v>541.774</v>
      </c>
      <c r="AE95" s="125">
        <v>12.732443857510045</v>
      </c>
      <c r="AF95" s="125">
        <v>1.307296716287518</v>
      </c>
      <c r="AG95" s="125">
        <v>0.23506271564743472</v>
      </c>
      <c r="AH95" s="125">
        <v>402.66268174519206</v>
      </c>
      <c r="AI95" s="125">
        <v>0.78737325331480668</v>
      </c>
      <c r="AJ95" s="125">
        <v>137.02798789750699</v>
      </c>
      <c r="AK95" s="125">
        <v>1.4215810239591911</v>
      </c>
      <c r="AL95" s="125">
        <v>6.2862443138136062E-2</v>
      </c>
      <c r="AM95" s="125">
        <v>3.6228701620491059</v>
      </c>
      <c r="AN95" s="125">
        <f t="shared" si="1"/>
        <v>0.36458935122703029</v>
      </c>
    </row>
    <row r="96" spans="1:40">
      <c r="A96" s="125" t="s">
        <v>44</v>
      </c>
      <c r="B96" s="125" t="s">
        <v>64</v>
      </c>
      <c r="C96" s="125">
        <v>6757.5</v>
      </c>
      <c r="D96" s="125">
        <v>21.809349999999998</v>
      </c>
      <c r="E96" s="125">
        <v>511.4</v>
      </c>
      <c r="F96" s="125">
        <v>333.15</v>
      </c>
      <c r="G96" s="125">
        <v>0.99</v>
      </c>
      <c r="H96" s="125">
        <v>1.34</v>
      </c>
      <c r="I96" s="125">
        <v>1051.7289999999998</v>
      </c>
      <c r="J96" s="125">
        <v>394.68470000000002</v>
      </c>
      <c r="K96" s="125">
        <v>0.99</v>
      </c>
      <c r="L96" s="125">
        <v>1.34</v>
      </c>
      <c r="M96" s="125">
        <v>98.798423321519124</v>
      </c>
      <c r="N96" s="125">
        <v>1.0793875102023798</v>
      </c>
      <c r="O96" s="125">
        <v>1242.8377301257494</v>
      </c>
      <c r="P96" s="125">
        <v>12.57953</v>
      </c>
      <c r="Q96" s="125">
        <v>13.501843918083907</v>
      </c>
      <c r="R96" s="125">
        <v>3.0929305311410729</v>
      </c>
      <c r="S96" s="125">
        <v>2.0386382824732756</v>
      </c>
      <c r="T96" s="125">
        <v>1.7817120359877232</v>
      </c>
      <c r="U96" s="125">
        <v>1.1743769633157346</v>
      </c>
      <c r="X96" s="125">
        <v>4.0671880190464682</v>
      </c>
      <c r="Y96" s="125">
        <v>7.0603609033972301</v>
      </c>
      <c r="Z96" s="125">
        <v>0.931689780767752</v>
      </c>
      <c r="AA96" s="125">
        <v>0.85</v>
      </c>
      <c r="AC96" s="125">
        <v>2.0565682440359794</v>
      </c>
      <c r="AD96" s="125">
        <v>540.32899999999984</v>
      </c>
      <c r="AE96" s="125">
        <v>12.788224149706526</v>
      </c>
      <c r="AF96" s="125">
        <v>1.307308724199884</v>
      </c>
      <c r="AG96" s="125">
        <v>0.23506974176124085</v>
      </c>
      <c r="AH96" s="125">
        <v>401.83176363396376</v>
      </c>
      <c r="AI96" s="125">
        <v>0.78574846232687479</v>
      </c>
      <c r="AJ96" s="125">
        <v>136.7452225903379</v>
      </c>
      <c r="AK96" s="125">
        <v>1.4278089096490734</v>
      </c>
      <c r="AL96" s="125">
        <v>6.3137840814000284E-2</v>
      </c>
      <c r="AM96" s="125">
        <v>3.6387418013424386</v>
      </c>
      <c r="AN96" s="125">
        <f t="shared" si="1"/>
        <v>0.36677213568076672</v>
      </c>
    </row>
    <row r="97" spans="1:40">
      <c r="A97" s="125" t="s">
        <v>44</v>
      </c>
      <c r="B97" s="125" t="s">
        <v>64</v>
      </c>
      <c r="C97" s="125">
        <v>6757.5</v>
      </c>
      <c r="D97" s="125">
        <v>21.809349999999998</v>
      </c>
      <c r="E97" s="125">
        <v>511.4</v>
      </c>
      <c r="F97" s="125">
        <v>333.15</v>
      </c>
      <c r="G97" s="125">
        <v>0.99</v>
      </c>
      <c r="H97" s="125">
        <v>1.34</v>
      </c>
      <c r="I97" s="125">
        <v>1045.5360000000001</v>
      </c>
      <c r="J97" s="125">
        <v>394.16109999999998</v>
      </c>
      <c r="K97" s="125">
        <v>0.99</v>
      </c>
      <c r="L97" s="125">
        <v>1.34</v>
      </c>
      <c r="M97" s="125">
        <v>97.922348870160178</v>
      </c>
      <c r="N97" s="125">
        <v>1.0789974773960198</v>
      </c>
      <c r="O97" s="125">
        <v>1253.9642229266101</v>
      </c>
      <c r="P97" s="125">
        <v>12.8057</v>
      </c>
      <c r="Q97" s="125">
        <v>13.744596392854667</v>
      </c>
      <c r="R97" s="125">
        <v>3.1485389758308324</v>
      </c>
      <c r="S97" s="125">
        <v>2.1126034841308416</v>
      </c>
      <c r="T97" s="125">
        <v>1.8220687097729455</v>
      </c>
      <c r="U97" s="125">
        <v>1.2225698122655004</v>
      </c>
      <c r="X97" s="125">
        <v>4.0671880190464682</v>
      </c>
      <c r="Y97" s="125">
        <v>7.028110373288702</v>
      </c>
      <c r="Z97" s="125">
        <v>0.931689780767752</v>
      </c>
      <c r="AA97" s="125">
        <v>0.85</v>
      </c>
      <c r="AC97" s="125">
        <v>2.0444583496284712</v>
      </c>
      <c r="AD97" s="125">
        <v>534.13600000000008</v>
      </c>
      <c r="AE97" s="125">
        <v>13.018146305457902</v>
      </c>
      <c r="AF97" s="125">
        <v>1.307453962783129</v>
      </c>
      <c r="AG97" s="125">
        <v>0.23515471407395722</v>
      </c>
      <c r="AH97" s="125">
        <v>398.26860412160397</v>
      </c>
      <c r="AI97" s="125">
        <v>0.77878100141103634</v>
      </c>
      <c r="AJ97" s="125">
        <v>135.53266279606945</v>
      </c>
      <c r="AK97" s="125">
        <v>1.4534797845621525</v>
      </c>
      <c r="AL97" s="125">
        <v>6.4273009254864316E-2</v>
      </c>
      <c r="AM97" s="125">
        <v>3.7041635009774501</v>
      </c>
      <c r="AN97" s="125">
        <f t="shared" si="1"/>
        <v>0.37595379655426353</v>
      </c>
    </row>
    <row r="98" spans="1:40">
      <c r="A98" s="125" t="s">
        <v>44</v>
      </c>
      <c r="B98" s="125" t="s">
        <v>64</v>
      </c>
      <c r="C98" s="125">
        <v>6757.5</v>
      </c>
      <c r="D98" s="125">
        <v>21.809349999999998</v>
      </c>
      <c r="E98" s="125">
        <v>511.4</v>
      </c>
      <c r="F98" s="125">
        <v>333.15</v>
      </c>
      <c r="G98" s="125">
        <v>0.99</v>
      </c>
      <c r="H98" s="125">
        <v>1.34</v>
      </c>
      <c r="I98" s="125">
        <v>1027.8409999999999</v>
      </c>
      <c r="J98" s="125">
        <v>392.76549999999997</v>
      </c>
      <c r="K98" s="125">
        <v>0.99</v>
      </c>
      <c r="L98" s="125">
        <v>1.34</v>
      </c>
      <c r="M98" s="125">
        <v>95.411025289839728</v>
      </c>
      <c r="N98" s="125">
        <v>1.0759369792502569</v>
      </c>
      <c r="O98" s="125">
        <v>1277.3923839982142</v>
      </c>
      <c r="P98" s="125">
        <v>13.388310000000001</v>
      </c>
      <c r="Q98" s="125">
        <v>14.369922560455116</v>
      </c>
      <c r="R98" s="125">
        <v>3.29178536554079</v>
      </c>
      <c r="S98" s="125">
        <v>2.3092069948066363</v>
      </c>
      <c r="T98" s="125">
        <v>1.9309001296452337</v>
      </c>
      <c r="U98" s="125">
        <v>1.3545379149947385</v>
      </c>
      <c r="X98" s="125">
        <v>4.0671880190464682</v>
      </c>
      <c r="Y98" s="125">
        <v>6.9337143824522132</v>
      </c>
      <c r="Z98" s="125">
        <v>0.931689780767752</v>
      </c>
      <c r="AA98" s="125">
        <v>0.85</v>
      </c>
      <c r="AC98" s="125">
        <v>2.0098572545952287</v>
      </c>
      <c r="AD98" s="125">
        <v>516.44099999999992</v>
      </c>
      <c r="AE98" s="125">
        <v>13.610421793640732</v>
      </c>
      <c r="AF98" s="125">
        <v>1.3085983994566857</v>
      </c>
      <c r="AG98" s="125">
        <v>0.23582361065458432</v>
      </c>
      <c r="AH98" s="125">
        <v>388.05457894377571</v>
      </c>
      <c r="AI98" s="125">
        <v>0.75880832800894749</v>
      </c>
      <c r="AJ98" s="125">
        <v>132.05678240808268</v>
      </c>
      <c r="AK98" s="125">
        <v>1.5196075134081946</v>
      </c>
      <c r="AL98" s="125">
        <v>6.7197183483682463E-2</v>
      </c>
      <c r="AM98" s="125">
        <v>3.872688665342106</v>
      </c>
      <c r="AN98" s="125">
        <f t="shared" si="1"/>
        <v>0.40110869911700991</v>
      </c>
    </row>
    <row r="99" spans="1:40">
      <c r="A99" s="125" t="s">
        <v>44</v>
      </c>
      <c r="B99" s="125" t="s">
        <v>64</v>
      </c>
      <c r="C99" s="125">
        <v>6757.5</v>
      </c>
      <c r="D99" s="125">
        <v>21.809349999999998</v>
      </c>
      <c r="E99" s="125">
        <v>511.4</v>
      </c>
      <c r="F99" s="125">
        <v>333.15</v>
      </c>
      <c r="G99" s="125">
        <v>0.99</v>
      </c>
      <c r="H99" s="125">
        <v>1.34</v>
      </c>
      <c r="I99" s="125">
        <v>1018.042</v>
      </c>
      <c r="J99" s="125">
        <v>392.04360000000003</v>
      </c>
      <c r="K99" s="125">
        <v>0.99</v>
      </c>
      <c r="L99" s="125">
        <v>1.34</v>
      </c>
      <c r="M99" s="125">
        <v>94.012852189875574</v>
      </c>
      <c r="N99" s="125">
        <v>1.0731652179845244</v>
      </c>
      <c r="O99" s="125">
        <v>1286.8366392327541</v>
      </c>
      <c r="P99" s="125">
        <v>13.68788</v>
      </c>
      <c r="Q99" s="125">
        <v>14.691456622740462</v>
      </c>
      <c r="R99" s="125">
        <v>3.3654406769247553</v>
      </c>
      <c r="S99" s="125">
        <v>2.4137024055425598</v>
      </c>
      <c r="T99" s="125">
        <v>1.9894430830529486</v>
      </c>
      <c r="U99" s="125">
        <v>1.4268335163889359</v>
      </c>
      <c r="X99" s="125">
        <v>4.0671880190464682</v>
      </c>
      <c r="Y99" s="125">
        <v>6.8802571516622271</v>
      </c>
      <c r="Z99" s="125">
        <v>0.931689780767752</v>
      </c>
      <c r="AA99" s="125">
        <v>0.85</v>
      </c>
      <c r="AC99" s="125">
        <v>1.9906961282753228</v>
      </c>
      <c r="AD99" s="125">
        <v>506.64200000000005</v>
      </c>
      <c r="AE99" s="125">
        <v>13.91496165391592</v>
      </c>
      <c r="AF99" s="125">
        <v>1.3096422434039392</v>
      </c>
      <c r="AG99" s="125">
        <v>0.23643269370964751</v>
      </c>
      <c r="AH99" s="125">
        <v>382.36794606304846</v>
      </c>
      <c r="AI99" s="125">
        <v>0.74768859222340334</v>
      </c>
      <c r="AJ99" s="125">
        <v>130.12159472647139</v>
      </c>
      <c r="AK99" s="125">
        <v>1.5536094765231576</v>
      </c>
      <c r="AL99" s="125">
        <v>6.870075340820668E-2</v>
      </c>
      <c r="AM99" s="125">
        <v>3.9593419728526533</v>
      </c>
      <c r="AN99" s="125">
        <f t="shared" si="1"/>
        <v>0.41486489300763346</v>
      </c>
    </row>
    <row r="100" spans="1:40">
      <c r="A100" s="125" t="s">
        <v>44</v>
      </c>
      <c r="B100" s="125" t="s">
        <v>64</v>
      </c>
      <c r="C100" s="125">
        <v>6757.5</v>
      </c>
      <c r="D100" s="125">
        <v>21.809349999999998</v>
      </c>
      <c r="E100" s="125">
        <v>511.4</v>
      </c>
      <c r="F100" s="125">
        <v>333.15</v>
      </c>
      <c r="G100" s="125">
        <v>0.99</v>
      </c>
      <c r="H100" s="125">
        <v>1.34</v>
      </c>
      <c r="I100" s="125">
        <v>998.18730000000005</v>
      </c>
      <c r="J100" s="125">
        <v>390.69009999999997</v>
      </c>
      <c r="K100" s="125">
        <v>0.99</v>
      </c>
      <c r="L100" s="125">
        <v>1.34</v>
      </c>
      <c r="M100" s="125">
        <v>91.161410853891581</v>
      </c>
      <c r="N100" s="125">
        <v>1.0650938762253264</v>
      </c>
      <c r="O100" s="125">
        <v>1298.0765008000353</v>
      </c>
      <c r="P100" s="125">
        <v>14.239319999999999</v>
      </c>
      <c r="Q100" s="125">
        <v>15.283327448612987</v>
      </c>
      <c r="R100" s="125">
        <v>3.5010232950426365</v>
      </c>
      <c r="S100" s="125">
        <v>2.612100275738948</v>
      </c>
      <c r="T100" s="125">
        <v>2.1034697605697996</v>
      </c>
      <c r="U100" s="125">
        <v>1.5693908547746465</v>
      </c>
      <c r="X100" s="125">
        <v>4.0671880190464682</v>
      </c>
      <c r="Y100" s="125">
        <v>6.7694436435077501</v>
      </c>
      <c r="Z100" s="125">
        <v>0.931689780767752</v>
      </c>
      <c r="AA100" s="125">
        <v>0.85</v>
      </c>
      <c r="AC100" s="125">
        <v>1.9518719202190069</v>
      </c>
      <c r="AD100" s="125">
        <v>486.78730000000007</v>
      </c>
      <c r="AE100" s="125">
        <v>14.475550032425625</v>
      </c>
      <c r="AF100" s="125">
        <v>1.312722529056934</v>
      </c>
      <c r="AG100" s="125">
        <v>0.23822439406261681</v>
      </c>
      <c r="AH100" s="125">
        <v>370.77059802432052</v>
      </c>
      <c r="AI100" s="125">
        <v>0.72501094646914455</v>
      </c>
      <c r="AJ100" s="125">
        <v>126.17496311957314</v>
      </c>
      <c r="AK100" s="125">
        <v>1.6161993304475002</v>
      </c>
      <c r="AL100" s="125">
        <v>7.1468482483813822E-2</v>
      </c>
      <c r="AM100" s="125">
        <v>4.1188509353442786</v>
      </c>
      <c r="AN100" s="125">
        <f t="shared" si="1"/>
        <v>0.44221389813974621</v>
      </c>
    </row>
    <row r="101" spans="1:40">
      <c r="A101" s="125" t="s">
        <v>44</v>
      </c>
      <c r="B101" s="125" t="s">
        <v>64</v>
      </c>
      <c r="C101" s="125">
        <v>6757.5</v>
      </c>
      <c r="D101" s="125">
        <v>21.809349999999998</v>
      </c>
      <c r="E101" s="125">
        <v>511.4</v>
      </c>
      <c r="F101" s="125">
        <v>333.15</v>
      </c>
      <c r="G101" s="125">
        <v>0.99</v>
      </c>
      <c r="H101" s="125">
        <v>1.34</v>
      </c>
      <c r="I101" s="125">
        <v>988.22329999999988</v>
      </c>
      <c r="J101" s="125">
        <v>390.05360000000002</v>
      </c>
      <c r="K101" s="125">
        <v>0.99</v>
      </c>
      <c r="L101" s="125">
        <v>1.34</v>
      </c>
      <c r="M101" s="125">
        <v>89.718826872364886</v>
      </c>
      <c r="N101" s="125">
        <v>1.0599644641633248</v>
      </c>
      <c r="O101" s="125">
        <v>1300.2689394013914</v>
      </c>
      <c r="P101" s="125">
        <v>14.492710000000001</v>
      </c>
      <c r="Q101" s="125">
        <v>15.555295656519267</v>
      </c>
      <c r="R101" s="125">
        <v>3.5633243243565964</v>
      </c>
      <c r="S101" s="125">
        <v>2.7058925631779296</v>
      </c>
      <c r="T101" s="125">
        <v>2.1589642940155422</v>
      </c>
      <c r="U101" s="125">
        <v>1.6394593631041932</v>
      </c>
      <c r="X101" s="125">
        <v>4.0671880190464682</v>
      </c>
      <c r="Y101" s="125">
        <v>6.7128067102232807</v>
      </c>
      <c r="Z101" s="125">
        <v>0.931689780767752</v>
      </c>
      <c r="AA101" s="125">
        <v>0.85</v>
      </c>
      <c r="AC101" s="125">
        <v>1.9323881501759874</v>
      </c>
      <c r="AD101" s="125">
        <v>476.8232999999999</v>
      </c>
      <c r="AE101" s="125">
        <v>14.733143767429567</v>
      </c>
      <c r="AF101" s="125">
        <v>1.3147121306635436</v>
      </c>
      <c r="AG101" s="125">
        <v>0.23937721674835877</v>
      </c>
      <c r="AH101" s="125">
        <v>364.90333773818679</v>
      </c>
      <c r="AI101" s="125">
        <v>0.71353800887404539</v>
      </c>
      <c r="AJ101" s="125">
        <v>124.1783070897784</v>
      </c>
      <c r="AK101" s="125">
        <v>1.6449597451542484</v>
      </c>
      <c r="AL101" s="125">
        <v>7.2740270657446662E-2</v>
      </c>
      <c r="AM101" s="125">
        <v>4.1921462639489366</v>
      </c>
      <c r="AN101" s="125">
        <f t="shared" si="1"/>
        <v>0.45582600070247614</v>
      </c>
    </row>
    <row r="102" spans="1:40">
      <c r="A102" s="125" t="s">
        <v>44</v>
      </c>
      <c r="B102" s="125" t="s">
        <v>64</v>
      </c>
      <c r="C102" s="125">
        <v>6757.5</v>
      </c>
      <c r="D102" s="125">
        <v>21.809349999999998</v>
      </c>
      <c r="E102" s="125">
        <v>511.4</v>
      </c>
      <c r="F102" s="125">
        <v>333.15</v>
      </c>
      <c r="G102" s="125">
        <v>0.99</v>
      </c>
      <c r="H102" s="125">
        <v>1.34</v>
      </c>
      <c r="I102" s="125">
        <v>956.05039999999997</v>
      </c>
      <c r="J102" s="125">
        <v>388.13780000000003</v>
      </c>
      <c r="K102" s="125">
        <v>0.99</v>
      </c>
      <c r="L102" s="125">
        <v>1.34</v>
      </c>
      <c r="M102" s="125">
        <v>84.996132312248022</v>
      </c>
      <c r="N102" s="125">
        <v>1.039154880476584</v>
      </c>
      <c r="O102" s="125">
        <v>1294.6338886178221</v>
      </c>
      <c r="P102" s="125">
        <v>15.231680000000001</v>
      </c>
      <c r="Q102" s="125">
        <v>16.348445925261142</v>
      </c>
      <c r="R102" s="125">
        <v>3.7450149657873433</v>
      </c>
      <c r="S102" s="125">
        <v>2.9888695406536501</v>
      </c>
      <c r="T102" s="125">
        <v>2.3338858772696387</v>
      </c>
      <c r="U102" s="125">
        <v>1.8626575524155202</v>
      </c>
      <c r="X102" s="125">
        <v>4.0671880190464682</v>
      </c>
      <c r="Y102" s="125">
        <v>6.5263173955271565</v>
      </c>
      <c r="Z102" s="125">
        <v>0.931689780767752</v>
      </c>
      <c r="AA102" s="125">
        <v>0.85</v>
      </c>
      <c r="AC102" s="125">
        <v>1.8694767305436057</v>
      </c>
      <c r="AD102" s="125">
        <v>444.65039999999999</v>
      </c>
      <c r="AE102" s="125">
        <v>15.484373264867758</v>
      </c>
      <c r="AF102" s="125">
        <v>1.3230503432458669</v>
      </c>
      <c r="AG102" s="125">
        <v>0.24417086235231289</v>
      </c>
      <c r="AH102" s="125">
        <v>345.69525100566352</v>
      </c>
      <c r="AI102" s="125">
        <v>0.67597819907247469</v>
      </c>
      <c r="AJ102" s="125">
        <v>117.64170562248862</v>
      </c>
      <c r="AK102" s="125">
        <v>1.7288347349164552</v>
      </c>
      <c r="AL102" s="125">
        <v>7.6449230390149059E-2</v>
      </c>
      <c r="AM102" s="125">
        <v>4.4058999597498154</v>
      </c>
      <c r="AN102" s="125">
        <f t="shared" si="1"/>
        <v>0.50025889507665133</v>
      </c>
    </row>
    <row r="103" spans="1:40">
      <c r="A103" s="125" t="s">
        <v>44</v>
      </c>
      <c r="B103" s="125" t="s">
        <v>64</v>
      </c>
      <c r="C103" s="125">
        <v>6757.5</v>
      </c>
      <c r="D103" s="125">
        <v>21.809349999999998</v>
      </c>
      <c r="E103" s="125">
        <v>511.4</v>
      </c>
      <c r="F103" s="125">
        <v>333.15</v>
      </c>
      <c r="G103" s="125">
        <v>0.99</v>
      </c>
      <c r="H103" s="125">
        <v>1.34</v>
      </c>
      <c r="I103" s="125">
        <v>937.20999999999992</v>
      </c>
      <c r="J103" s="125">
        <v>387.14420000000001</v>
      </c>
      <c r="K103" s="125">
        <v>0.99</v>
      </c>
      <c r="L103" s="125">
        <v>1.34</v>
      </c>
      <c r="M103" s="125">
        <v>82.184205529265412</v>
      </c>
      <c r="N103" s="125">
        <v>1.0232663967411195</v>
      </c>
      <c r="O103" s="125">
        <v>1281.924031002477</v>
      </c>
      <c r="P103" s="125">
        <v>15.598179999999999</v>
      </c>
      <c r="Q103" s="125">
        <v>16.741817203518575</v>
      </c>
      <c r="R103" s="125">
        <v>3.8351263641991435</v>
      </c>
      <c r="S103" s="125">
        <v>3.1344345110961314</v>
      </c>
      <c r="T103" s="125">
        <v>2.4318480073222672</v>
      </c>
      <c r="U103" s="125">
        <v>1.9875403301040921</v>
      </c>
      <c r="X103" s="125">
        <v>4.0671880190464682</v>
      </c>
      <c r="Y103" s="125">
        <v>6.4141261925227449</v>
      </c>
      <c r="Z103" s="125">
        <v>0.931689780767752</v>
      </c>
      <c r="AA103" s="125">
        <v>0.85</v>
      </c>
      <c r="AC103" s="125">
        <v>1.8326359014470082</v>
      </c>
      <c r="AD103" s="125">
        <v>425.80999999999995</v>
      </c>
      <c r="AE103" s="125">
        <v>15.856953492496885</v>
      </c>
      <c r="AF103" s="125">
        <v>1.3297203189686575</v>
      </c>
      <c r="AG103" s="125">
        <v>0.24796215735380461</v>
      </c>
      <c r="AH103" s="125">
        <v>334.25861608348077</v>
      </c>
      <c r="AI103" s="125">
        <v>0.65361481439867186</v>
      </c>
      <c r="AJ103" s="125">
        <v>113.74976543842963</v>
      </c>
      <c r="AK103" s="125">
        <v>1.7704334246438445</v>
      </c>
      <c r="AL103" s="125">
        <v>7.8288728261558485E-2</v>
      </c>
      <c r="AM103" s="125">
        <v>4.5119133696460514</v>
      </c>
      <c r="AN103" s="125">
        <f t="shared" si="1"/>
        <v>0.52642300260840447</v>
      </c>
    </row>
    <row r="104" spans="1:40">
      <c r="A104" s="125" t="s">
        <v>44</v>
      </c>
      <c r="B104" s="125" t="s">
        <v>64</v>
      </c>
      <c r="C104" s="125">
        <v>6757.5</v>
      </c>
      <c r="D104" s="125">
        <v>21.809349999999998</v>
      </c>
      <c r="E104" s="125">
        <v>511.4</v>
      </c>
      <c r="F104" s="125">
        <v>333.15</v>
      </c>
      <c r="G104" s="125">
        <v>0.99</v>
      </c>
      <c r="H104" s="125">
        <v>1.34</v>
      </c>
      <c r="I104" s="125">
        <v>902.85130000000004</v>
      </c>
      <c r="J104" s="125">
        <v>385.46269999999998</v>
      </c>
      <c r="K104" s="125">
        <v>0.99</v>
      </c>
      <c r="L104" s="125">
        <v>1.34</v>
      </c>
      <c r="M104" s="125">
        <v>76.945127286174653</v>
      </c>
      <c r="N104" s="125">
        <v>0.98882957851284903</v>
      </c>
      <c r="O104" s="125">
        <v>1246.851928949907</v>
      </c>
      <c r="P104" s="125">
        <v>16.204429999999999</v>
      </c>
      <c r="Q104" s="125">
        <v>17.392516623555601</v>
      </c>
      <c r="R104" s="125">
        <v>3.9841851235092509</v>
      </c>
      <c r="S104" s="125">
        <v>3.3828197941042704</v>
      </c>
      <c r="T104" s="125">
        <v>2.6111182909984656</v>
      </c>
      <c r="U104" s="125">
        <v>2.2170010593677714</v>
      </c>
      <c r="X104" s="125">
        <v>4.0671880190464682</v>
      </c>
      <c r="Y104" s="125">
        <v>6.2059348501609195</v>
      </c>
      <c r="Z104" s="125">
        <v>0.931689780767752</v>
      </c>
      <c r="AA104" s="125">
        <v>0.85</v>
      </c>
      <c r="AC104" s="125">
        <v>1.7654503324208057</v>
      </c>
      <c r="AD104" s="125">
        <v>391.45130000000006</v>
      </c>
      <c r="AE104" s="125">
        <v>16.473261167804274</v>
      </c>
      <c r="AF104" s="125">
        <v>1.3451665792728327</v>
      </c>
      <c r="AG104" s="125">
        <v>0.25659764715491379</v>
      </c>
      <c r="AH104" s="125">
        <v>312.95029982233501</v>
      </c>
      <c r="AI104" s="125">
        <v>0.61194818111524252</v>
      </c>
      <c r="AJ104" s="125">
        <v>106.49844607082997</v>
      </c>
      <c r="AK104" s="125">
        <v>1.8392443541042256</v>
      </c>
      <c r="AL104" s="125">
        <v>8.1331553867402873E-2</v>
      </c>
      <c r="AM104" s="125">
        <v>4.6872766158932366</v>
      </c>
      <c r="AN104" s="125">
        <f t="shared" si="1"/>
        <v>0.57709618687860831</v>
      </c>
    </row>
    <row r="105" spans="1:40">
      <c r="A105" s="125" t="s">
        <v>44</v>
      </c>
      <c r="B105" s="125" t="s">
        <v>64</v>
      </c>
      <c r="C105" s="125">
        <v>6757.5</v>
      </c>
      <c r="D105" s="125">
        <v>21.809349999999998</v>
      </c>
      <c r="E105" s="125">
        <v>511.4</v>
      </c>
      <c r="F105" s="125">
        <v>333.15</v>
      </c>
      <c r="G105" s="125">
        <v>0.99</v>
      </c>
      <c r="H105" s="125">
        <v>1.34</v>
      </c>
      <c r="I105" s="125">
        <v>881.72829999999999</v>
      </c>
      <c r="J105" s="125">
        <v>384.48439999999999</v>
      </c>
      <c r="K105" s="125">
        <v>0.99</v>
      </c>
      <c r="L105" s="125">
        <v>1.34</v>
      </c>
      <c r="M105" s="125">
        <v>73.64449931850119</v>
      </c>
      <c r="N105" s="125">
        <v>0.96444904131252329</v>
      </c>
      <c r="O105" s="125">
        <v>1217.4908627334617</v>
      </c>
      <c r="P105" s="125">
        <v>16.532</v>
      </c>
      <c r="Q105" s="125">
        <v>17.744103607508638</v>
      </c>
      <c r="R105" s="125">
        <v>4.0647247982098067</v>
      </c>
      <c r="S105" s="125">
        <v>3.520968487682147</v>
      </c>
      <c r="T105" s="125">
        <v>2.7207961005963712</v>
      </c>
      <c r="U105" s="125">
        <v>2.3568231078835784</v>
      </c>
      <c r="X105" s="125">
        <v>4.0671880190464682</v>
      </c>
      <c r="Y105" s="125">
        <v>6.0761627805833562</v>
      </c>
      <c r="Z105" s="125">
        <v>0.931689780767752</v>
      </c>
      <c r="AA105" s="125">
        <v>0.85</v>
      </c>
      <c r="AC105" s="125">
        <v>1.7241460696128277</v>
      </c>
      <c r="AD105" s="125">
        <v>370.32830000000001</v>
      </c>
      <c r="AE105" s="125">
        <v>16.806265547516347</v>
      </c>
      <c r="AF105" s="125">
        <v>1.3570072111434179</v>
      </c>
      <c r="AG105" s="125">
        <v>0.26308424023966881</v>
      </c>
      <c r="AH105" s="125">
        <v>299.52602529688386</v>
      </c>
      <c r="AI105" s="125">
        <v>0.58569813315777053</v>
      </c>
      <c r="AJ105" s="125">
        <v>101.93010286297742</v>
      </c>
      <c r="AK105" s="125">
        <v>1.8764243890128232</v>
      </c>
      <c r="AL105" s="125">
        <v>8.2975658417846501E-2</v>
      </c>
      <c r="AM105" s="125">
        <v>4.7820291743644789</v>
      </c>
      <c r="AN105" s="125">
        <f t="shared" si="1"/>
        <v>0.61045349221136214</v>
      </c>
    </row>
    <row r="106" spans="1:40">
      <c r="A106" s="125" t="s">
        <v>44</v>
      </c>
      <c r="B106" s="125" t="s">
        <v>64</v>
      </c>
      <c r="C106" s="125">
        <v>6757.5</v>
      </c>
      <c r="D106" s="125">
        <v>21.809349999999998</v>
      </c>
      <c r="E106" s="125">
        <v>511.4</v>
      </c>
      <c r="F106" s="125">
        <v>333.15</v>
      </c>
      <c r="G106" s="125">
        <v>0.99</v>
      </c>
      <c r="H106" s="125">
        <v>1.34</v>
      </c>
      <c r="I106" s="125">
        <v>842.77239999999995</v>
      </c>
      <c r="J106" s="125">
        <v>382.81060000000002</v>
      </c>
      <c r="K106" s="125">
        <v>0.99</v>
      </c>
      <c r="L106" s="125">
        <v>1.34</v>
      </c>
      <c r="M106" s="125">
        <v>67.384863291507358</v>
      </c>
      <c r="N106" s="125">
        <v>0.91221634865515344</v>
      </c>
      <c r="O106" s="125">
        <v>1148.9779562862261</v>
      </c>
      <c r="P106" s="125">
        <v>17.050979999999999</v>
      </c>
      <c r="Q106" s="125">
        <v>18.30113451061926</v>
      </c>
      <c r="R106" s="125">
        <v>4.1923264722828124</v>
      </c>
      <c r="S106" s="125">
        <v>3.7455020142361164</v>
      </c>
      <c r="T106" s="125">
        <v>2.9231402431424001</v>
      </c>
      <c r="U106" s="125">
        <v>2.6115875614579096</v>
      </c>
      <c r="X106" s="125">
        <v>4.0671880190464682</v>
      </c>
      <c r="Y106" s="125">
        <v>5.8331036425642218</v>
      </c>
      <c r="Z106" s="125">
        <v>0.931689780767752</v>
      </c>
      <c r="AA106" s="125">
        <v>0.85</v>
      </c>
      <c r="AC106" s="125">
        <v>1.6479710598357449</v>
      </c>
      <c r="AD106" s="125">
        <v>331.37239999999997</v>
      </c>
      <c r="AE106" s="125">
        <v>17.333855415278865</v>
      </c>
      <c r="AF106" s="125">
        <v>1.385325924225725</v>
      </c>
      <c r="AG106" s="125">
        <v>0.27814820865428341</v>
      </c>
      <c r="AH106" s="125">
        <v>274.06690864430294</v>
      </c>
      <c r="AI106" s="125">
        <v>0.53591495628530095</v>
      </c>
      <c r="AJ106" s="125">
        <v>93.266246770252408</v>
      </c>
      <c r="AK106" s="125">
        <v>1.9353299497078311</v>
      </c>
      <c r="AL106" s="125">
        <v>8.5580467709262767E-2</v>
      </c>
      <c r="AM106" s="125">
        <v>4.932148790920956</v>
      </c>
      <c r="AN106" s="125">
        <f t="shared" si="1"/>
        <v>0.67830124438786465</v>
      </c>
    </row>
    <row r="107" spans="1:40">
      <c r="A107" s="125" t="s">
        <v>44</v>
      </c>
      <c r="B107" s="125" t="s">
        <v>64</v>
      </c>
      <c r="C107" s="125">
        <v>6757.5</v>
      </c>
      <c r="D107" s="125">
        <v>21.809349999999998</v>
      </c>
      <c r="E107" s="125">
        <v>511.4</v>
      </c>
      <c r="F107" s="125">
        <v>333.15</v>
      </c>
      <c r="G107" s="125">
        <v>0.99</v>
      </c>
      <c r="H107" s="125">
        <v>1.34</v>
      </c>
      <c r="I107" s="125">
        <v>823.3454999999999</v>
      </c>
      <c r="J107" s="125">
        <v>382.02120000000002</v>
      </c>
      <c r="K107" s="125">
        <v>0.99</v>
      </c>
      <c r="L107" s="125">
        <v>1.34</v>
      </c>
      <c r="M107" s="125">
        <v>64.171242611611291</v>
      </c>
      <c r="N107" s="125">
        <v>0.88274427209367712</v>
      </c>
      <c r="O107" s="125">
        <v>1108.8296604718321</v>
      </c>
      <c r="P107" s="125">
        <v>17.279229999999998</v>
      </c>
      <c r="Q107" s="125">
        <v>18.546119488142477</v>
      </c>
      <c r="R107" s="125">
        <v>4.2484463268189474</v>
      </c>
      <c r="S107" s="125">
        <v>3.8464502169665105</v>
      </c>
      <c r="T107" s="125">
        <v>3.0259126730109811</v>
      </c>
      <c r="U107" s="125">
        <v>2.73959503363659</v>
      </c>
      <c r="X107" s="125">
        <v>4.0671880190464682</v>
      </c>
      <c r="Y107" s="125">
        <v>5.7104192576734327</v>
      </c>
      <c r="Z107" s="125">
        <v>0.931689780767752</v>
      </c>
      <c r="AA107" s="125">
        <v>0.85</v>
      </c>
      <c r="AC107" s="125">
        <v>1.6099833789597182</v>
      </c>
      <c r="AD107" s="125">
        <v>311.94549999999992</v>
      </c>
      <c r="AE107" s="125">
        <v>17.565892078188412</v>
      </c>
      <c r="AF107" s="125">
        <v>1.4033801717932353</v>
      </c>
      <c r="AG107" s="125">
        <v>0.28743470935448462</v>
      </c>
      <c r="AH107" s="125">
        <v>260.99650911726968</v>
      </c>
      <c r="AI107" s="125">
        <v>0.51035688133998758</v>
      </c>
      <c r="AJ107" s="125">
        <v>88.818328874202493</v>
      </c>
      <c r="AK107" s="125">
        <v>1.961236909954152</v>
      </c>
      <c r="AL107" s="125">
        <v>8.672607586519511E-2</v>
      </c>
      <c r="AM107" s="125">
        <v>4.9981721491987621</v>
      </c>
      <c r="AN107" s="125">
        <f t="shared" si="1"/>
        <v>0.71668430841350994</v>
      </c>
    </row>
    <row r="108" spans="1:40">
      <c r="A108" s="125" t="s">
        <v>44</v>
      </c>
      <c r="B108" s="125" t="s">
        <v>64</v>
      </c>
      <c r="C108" s="125">
        <v>6757.5</v>
      </c>
      <c r="D108" s="125">
        <v>21.809349999999998</v>
      </c>
      <c r="E108" s="125">
        <v>511.4</v>
      </c>
      <c r="F108" s="125">
        <v>333.15</v>
      </c>
      <c r="G108" s="125">
        <v>0.99</v>
      </c>
      <c r="H108" s="125">
        <v>1.34</v>
      </c>
      <c r="I108" s="125">
        <v>786.53639999999996</v>
      </c>
      <c r="J108" s="125">
        <v>380.5883</v>
      </c>
      <c r="K108" s="125">
        <v>0.99</v>
      </c>
      <c r="L108" s="125">
        <v>1.34</v>
      </c>
      <c r="M108" s="125">
        <v>57.896846776322278</v>
      </c>
      <c r="N108" s="125">
        <v>0.82048993211080623</v>
      </c>
      <c r="O108" s="125">
        <v>1023.457034676743</v>
      </c>
      <c r="P108" s="125">
        <v>17.677250000000001</v>
      </c>
      <c r="Q108" s="125">
        <v>18.973321769648685</v>
      </c>
      <c r="R108" s="125">
        <v>4.3463075513642826</v>
      </c>
      <c r="S108" s="125">
        <v>4.0256939311433069</v>
      </c>
      <c r="T108" s="125">
        <v>3.228330339245578</v>
      </c>
      <c r="U108" s="125">
        <v>2.9901864285575646</v>
      </c>
      <c r="X108" s="125">
        <v>4.0671880190464682</v>
      </c>
      <c r="Y108" s="125">
        <v>5.4756633127361312</v>
      </c>
      <c r="Z108" s="125">
        <v>0.931689780767752</v>
      </c>
      <c r="AA108" s="125">
        <v>0.85</v>
      </c>
      <c r="AC108" s="125">
        <v>1.5380062573328119</v>
      </c>
      <c r="AD108" s="125">
        <v>275.13639999999998</v>
      </c>
      <c r="AE108" s="125">
        <v>17.970515221983629</v>
      </c>
      <c r="AF108" s="125">
        <v>1.4476885719696291</v>
      </c>
      <c r="AG108" s="125">
        <v>0.3092437010541112</v>
      </c>
      <c r="AH108" s="125">
        <v>235.47736154922708</v>
      </c>
      <c r="AI108" s="125">
        <v>0.46045631902469125</v>
      </c>
      <c r="AJ108" s="125">
        <v>80.134043981068899</v>
      </c>
      <c r="AK108" s="125">
        <v>2.0064132005006612</v>
      </c>
      <c r="AL108" s="125">
        <v>8.8723775572639565E-2</v>
      </c>
      <c r="AM108" s="125">
        <v>5.1133030016050389</v>
      </c>
      <c r="AN108" s="125">
        <f t="shared" si="1"/>
        <v>0.80236568892373428</v>
      </c>
    </row>
    <row r="109" spans="1:40">
      <c r="A109" s="125" t="s">
        <v>44</v>
      </c>
      <c r="B109" s="125" t="s">
        <v>64</v>
      </c>
      <c r="C109" s="125">
        <v>6757.5</v>
      </c>
      <c r="D109" s="125">
        <v>21.809349999999998</v>
      </c>
      <c r="E109" s="125">
        <v>511.4</v>
      </c>
      <c r="F109" s="125">
        <v>333.15</v>
      </c>
      <c r="G109" s="125">
        <v>0.99</v>
      </c>
      <c r="H109" s="125">
        <v>1.34</v>
      </c>
      <c r="I109" s="125">
        <v>765.90660000000003</v>
      </c>
      <c r="J109" s="125">
        <v>379.81459999999998</v>
      </c>
      <c r="K109" s="125">
        <v>0.99</v>
      </c>
      <c r="L109" s="125">
        <v>1.34</v>
      </c>
      <c r="M109" s="125">
        <v>54.265767615410191</v>
      </c>
      <c r="N109" s="125">
        <v>0.78178235726538403</v>
      </c>
      <c r="O109" s="125">
        <v>970.41627190539123</v>
      </c>
      <c r="P109" s="125">
        <v>17.882660000000001</v>
      </c>
      <c r="Q109" s="125">
        <v>19.193792149640117</v>
      </c>
      <c r="R109" s="125">
        <v>4.3968117323950278</v>
      </c>
      <c r="S109" s="125">
        <v>4.1197947885800179</v>
      </c>
      <c r="T109" s="125">
        <v>3.3469915734311559</v>
      </c>
      <c r="U109" s="125">
        <v>3.1361175508262717</v>
      </c>
      <c r="X109" s="125">
        <v>4.0671880190464682</v>
      </c>
      <c r="Y109" s="125">
        <v>5.3429055937740708</v>
      </c>
      <c r="Z109" s="125">
        <v>0.931689780767752</v>
      </c>
      <c r="AA109" s="125">
        <v>0.85</v>
      </c>
      <c r="AC109" s="125">
        <v>1.4976664059444662</v>
      </c>
      <c r="AD109" s="125">
        <v>254.50660000000005</v>
      </c>
      <c r="AE109" s="125">
        <v>18.179332969752519</v>
      </c>
      <c r="AF109" s="125">
        <v>1.4805053613481489</v>
      </c>
      <c r="AG109" s="125">
        <v>0.32455496203715228</v>
      </c>
      <c r="AH109" s="125">
        <v>220.70907988975617</v>
      </c>
      <c r="AI109" s="125">
        <v>0.43157817733624598</v>
      </c>
      <c r="AJ109" s="125">
        <v>75.108328879460473</v>
      </c>
      <c r="AK109" s="125">
        <v>2.0297277621838892</v>
      </c>
      <c r="AL109" s="125">
        <v>8.9754747626571915E-2</v>
      </c>
      <c r="AM109" s="125">
        <v>5.1727196851706214</v>
      </c>
      <c r="AN109" s="125">
        <f t="shared" si="1"/>
        <v>0.860746851355222</v>
      </c>
    </row>
    <row r="110" spans="1:40">
      <c r="A110" s="125" t="s">
        <v>44</v>
      </c>
      <c r="B110" s="125" t="s">
        <v>64</v>
      </c>
      <c r="C110" s="125">
        <v>6757.5</v>
      </c>
      <c r="D110" s="125">
        <v>21.809349999999998</v>
      </c>
      <c r="E110" s="125">
        <v>511.4</v>
      </c>
      <c r="F110" s="125">
        <v>333.15</v>
      </c>
      <c r="G110" s="125">
        <v>0.99</v>
      </c>
      <c r="H110" s="125">
        <v>1.34</v>
      </c>
      <c r="I110" s="125">
        <v>726.7876</v>
      </c>
      <c r="J110" s="125">
        <v>378.42290000000003</v>
      </c>
      <c r="K110" s="125">
        <v>0.99</v>
      </c>
      <c r="L110" s="125">
        <v>1.34</v>
      </c>
      <c r="M110" s="125">
        <v>47.133791591741513</v>
      </c>
      <c r="N110" s="125">
        <v>0.69990891414157941</v>
      </c>
      <c r="O110" s="125">
        <v>859.55444768696225</v>
      </c>
      <c r="P110" s="125">
        <v>18.23648</v>
      </c>
      <c r="Q110" s="125">
        <v>19.573553747656614</v>
      </c>
      <c r="R110" s="125">
        <v>4.4838054977048865</v>
      </c>
      <c r="S110" s="125">
        <v>4.2844331838268896</v>
      </c>
      <c r="T110" s="125">
        <v>3.583748892517423</v>
      </c>
      <c r="U110" s="125">
        <v>3.4243975760018794</v>
      </c>
      <c r="X110" s="125">
        <v>4.0671880190464682</v>
      </c>
      <c r="Y110" s="125">
        <v>5.088660100621528</v>
      </c>
      <c r="Z110" s="125">
        <v>0.931689780767752</v>
      </c>
      <c r="AA110" s="125">
        <v>0.85</v>
      </c>
      <c r="AC110" s="125">
        <v>1.4211724677356277</v>
      </c>
      <c r="AD110" s="125">
        <v>215.38760000000002</v>
      </c>
      <c r="AE110" s="125">
        <v>18.539022836436665</v>
      </c>
      <c r="AF110" s="125">
        <v>1.5686779431688107</v>
      </c>
      <c r="AG110" s="125">
        <v>0.36252051968044618</v>
      </c>
      <c r="AH110" s="125">
        <v>191.7019924541643</v>
      </c>
      <c r="AI110" s="125">
        <v>0.3748572398399771</v>
      </c>
      <c r="AJ110" s="125">
        <v>65.237081787877528</v>
      </c>
      <c r="AK110" s="125">
        <v>2.0698872393990184</v>
      </c>
      <c r="AL110" s="125">
        <v>9.1530603388814996E-2</v>
      </c>
      <c r="AM110" s="125">
        <v>5.2750652914175138</v>
      </c>
      <c r="AN110" s="125">
        <f t="shared" si="1"/>
        <v>1.0043323404508318</v>
      </c>
    </row>
    <row r="111" spans="1:40">
      <c r="A111" s="125" t="s">
        <v>44</v>
      </c>
      <c r="B111" s="125" t="s">
        <v>64</v>
      </c>
      <c r="C111" s="125">
        <v>6360</v>
      </c>
      <c r="D111" s="125">
        <v>21.809349999999998</v>
      </c>
      <c r="E111" s="125">
        <v>511.4</v>
      </c>
      <c r="F111" s="125">
        <v>333.15</v>
      </c>
      <c r="G111" s="125">
        <v>0.99</v>
      </c>
      <c r="H111" s="125">
        <v>1.34</v>
      </c>
      <c r="I111" s="125">
        <v>1012.255</v>
      </c>
      <c r="J111" s="125">
        <v>392.71510000000001</v>
      </c>
      <c r="K111" s="125">
        <v>0.99</v>
      </c>
      <c r="L111" s="125">
        <v>1.34</v>
      </c>
      <c r="M111" s="125">
        <v>93.316414023500684</v>
      </c>
      <c r="N111" s="125">
        <v>1.0532067363898596</v>
      </c>
      <c r="O111" s="125">
        <v>861.24452673219673</v>
      </c>
      <c r="P111" s="125">
        <v>9.2292930000000002</v>
      </c>
      <c r="Q111" s="125">
        <v>9.9059721277555184</v>
      </c>
      <c r="R111" s="125">
        <v>2.2692073631166334</v>
      </c>
      <c r="S111" s="125">
        <v>1.0973576921311148</v>
      </c>
      <c r="T111" s="125">
        <v>1.3513964068789672</v>
      </c>
      <c r="U111" s="125">
        <v>0.65351684747321281</v>
      </c>
      <c r="X111" s="125">
        <v>4.0671880190464682</v>
      </c>
      <c r="Y111" s="125">
        <v>6.8294491187193067</v>
      </c>
      <c r="Z111" s="125">
        <v>0.931689780767752</v>
      </c>
      <c r="AA111" s="125">
        <v>0.8</v>
      </c>
      <c r="AC111" s="125">
        <v>1.9793801329683223</v>
      </c>
      <c r="AD111" s="125">
        <v>500.85500000000002</v>
      </c>
      <c r="AE111" s="125">
        <v>9.3824067852548865</v>
      </c>
      <c r="AF111" s="125">
        <v>1.3173722987242118</v>
      </c>
      <c r="AG111" s="125">
        <v>0.2409131412825106</v>
      </c>
      <c r="AH111" s="125">
        <v>379.5354010967618</v>
      </c>
      <c r="AI111" s="125">
        <v>0.74214978704881074</v>
      </c>
      <c r="AJ111" s="125">
        <v>145.8068969117198</v>
      </c>
      <c r="AK111" s="125">
        <v>1.0475484199458824</v>
      </c>
      <c r="AL111" s="125">
        <v>4.6322687116272798E-2</v>
      </c>
      <c r="AM111" s="125">
        <v>2.8365092038957918</v>
      </c>
      <c r="AN111" s="125">
        <f t="shared" si="1"/>
        <v>0.2816875937055614</v>
      </c>
    </row>
    <row r="112" spans="1:40">
      <c r="A112" s="125" t="s">
        <v>44</v>
      </c>
      <c r="B112" s="125" t="s">
        <v>64</v>
      </c>
      <c r="C112" s="125">
        <v>6360</v>
      </c>
      <c r="D112" s="125">
        <v>21.809349999999998</v>
      </c>
      <c r="E112" s="125">
        <v>511.4</v>
      </c>
      <c r="F112" s="125">
        <v>333.15</v>
      </c>
      <c r="G112" s="125">
        <v>0.99</v>
      </c>
      <c r="H112" s="125">
        <v>1.34</v>
      </c>
      <c r="I112" s="125">
        <v>1011.251</v>
      </c>
      <c r="J112" s="125">
        <v>392.45940000000002</v>
      </c>
      <c r="K112" s="125">
        <v>0.99</v>
      </c>
      <c r="L112" s="125">
        <v>1.34</v>
      </c>
      <c r="M112" s="125">
        <v>93.149620825576349</v>
      </c>
      <c r="N112" s="125">
        <v>1.0558568042723071</v>
      </c>
      <c r="O112" s="125">
        <v>871.23650759862744</v>
      </c>
      <c r="P112" s="125">
        <v>9.3530870000000004</v>
      </c>
      <c r="Q112" s="125">
        <v>10.038842534360159</v>
      </c>
      <c r="R112" s="125">
        <v>2.2996446085599911</v>
      </c>
      <c r="S112" s="125">
        <v>1.1269931934259259</v>
      </c>
      <c r="T112" s="125">
        <v>1.3699900156428291</v>
      </c>
      <c r="U112" s="125">
        <v>0.67139479593664719</v>
      </c>
      <c r="X112" s="125">
        <v>4.0671880190464682</v>
      </c>
      <c r="Y112" s="125">
        <v>6.8271205579635765</v>
      </c>
      <c r="Z112" s="125">
        <v>0.931689780767752</v>
      </c>
      <c r="AA112" s="125">
        <v>0.8</v>
      </c>
      <c r="AC112" s="125">
        <v>1.9774168947985922</v>
      </c>
      <c r="AD112" s="125">
        <v>499.851</v>
      </c>
      <c r="AE112" s="125">
        <v>9.5082545252251993</v>
      </c>
      <c r="AF112" s="125">
        <v>1.3163237618349939</v>
      </c>
      <c r="AG112" s="125">
        <v>0.24030847957498641</v>
      </c>
      <c r="AH112" s="125">
        <v>378.85702180050555</v>
      </c>
      <c r="AI112" s="125">
        <v>0.74082327297713257</v>
      </c>
      <c r="AJ112" s="125">
        <v>145.54628253996304</v>
      </c>
      <c r="AK112" s="125">
        <v>1.061599356360923</v>
      </c>
      <c r="AL112" s="125">
        <v>4.69440208120252E-2</v>
      </c>
      <c r="AM112" s="125">
        <v>2.8745557606999887</v>
      </c>
      <c r="AN112" s="125">
        <f t="shared" si="1"/>
        <v>0.28581436964367019</v>
      </c>
    </row>
    <row r="113" spans="1:40">
      <c r="A113" s="125" t="s">
        <v>44</v>
      </c>
      <c r="B113" s="125" t="s">
        <v>64</v>
      </c>
      <c r="C113" s="125">
        <v>6360</v>
      </c>
      <c r="D113" s="125">
        <v>21.809349999999998</v>
      </c>
      <c r="E113" s="125">
        <v>511.4</v>
      </c>
      <c r="F113" s="125">
        <v>333.15</v>
      </c>
      <c r="G113" s="125">
        <v>0.99</v>
      </c>
      <c r="H113" s="125">
        <v>1.34</v>
      </c>
      <c r="I113" s="125">
        <v>1007.18</v>
      </c>
      <c r="J113" s="125">
        <v>391.65679999999998</v>
      </c>
      <c r="K113" s="125">
        <v>0.99</v>
      </c>
      <c r="L113" s="125">
        <v>1.34</v>
      </c>
      <c r="M113" s="125">
        <v>92.501198282459356</v>
      </c>
      <c r="N113" s="125">
        <v>1.0628903782038388</v>
      </c>
      <c r="O113" s="125">
        <v>899.5256826690171</v>
      </c>
      <c r="P113" s="125">
        <v>9.7244759999999992</v>
      </c>
      <c r="Q113" s="125">
        <v>10.437461267404498</v>
      </c>
      <c r="R113" s="125">
        <v>2.3909580659808922</v>
      </c>
      <c r="S113" s="125">
        <v>1.2182705969824781</v>
      </c>
      <c r="T113" s="125">
        <v>1.4272217102330109</v>
      </c>
      <c r="U113" s="125">
        <v>0.72721570055583706</v>
      </c>
      <c r="X113" s="125">
        <v>4.0671880190464682</v>
      </c>
      <c r="Y113" s="125">
        <v>6.8135706809086889</v>
      </c>
      <c r="Z113" s="125">
        <v>0.931689780767752</v>
      </c>
      <c r="AA113" s="125">
        <v>0.8</v>
      </c>
      <c r="AC113" s="125">
        <v>1.9694563942119672</v>
      </c>
      <c r="AD113" s="125">
        <v>495.78</v>
      </c>
      <c r="AE113" s="125">
        <v>9.8858048612660028</v>
      </c>
      <c r="AF113" s="125">
        <v>1.3135741335553246</v>
      </c>
      <c r="AG113" s="125">
        <v>0.23871826153169118</v>
      </c>
      <c r="AH113" s="125">
        <v>376.21976540186046</v>
      </c>
      <c r="AI113" s="125">
        <v>0.73566633829069306</v>
      </c>
      <c r="AJ113" s="125">
        <v>144.53312231634271</v>
      </c>
      <c r="AK113" s="125">
        <v>1.1037529601239935</v>
      </c>
      <c r="AL113" s="125">
        <v>4.8808057032938917E-2</v>
      </c>
      <c r="AM113" s="125">
        <v>2.9886975824761151</v>
      </c>
      <c r="AN113" s="125">
        <f t="shared" si="1"/>
        <v>0.29864610871367431</v>
      </c>
    </row>
    <row r="114" spans="1:40">
      <c r="A114" s="125" t="s">
        <v>44</v>
      </c>
      <c r="B114" s="125" t="s">
        <v>64</v>
      </c>
      <c r="C114" s="125">
        <v>6360</v>
      </c>
      <c r="D114" s="125">
        <v>21.809349999999998</v>
      </c>
      <c r="E114" s="125">
        <v>511.4</v>
      </c>
      <c r="F114" s="125">
        <v>333.15</v>
      </c>
      <c r="G114" s="125">
        <v>0.99</v>
      </c>
      <c r="H114" s="125">
        <v>1.34</v>
      </c>
      <c r="I114" s="125">
        <v>996.15989999999999</v>
      </c>
      <c r="J114" s="125">
        <v>390.06990000000002</v>
      </c>
      <c r="K114" s="125">
        <v>0.99</v>
      </c>
      <c r="L114" s="125">
        <v>1.34</v>
      </c>
      <c r="M114" s="125">
        <v>90.810205421072993</v>
      </c>
      <c r="N114" s="125">
        <v>1.0725510979956185</v>
      </c>
      <c r="O114" s="125">
        <v>950.53312269372623</v>
      </c>
      <c r="P114" s="125">
        <v>10.46725</v>
      </c>
      <c r="Q114" s="125">
        <v>11.234694440218654</v>
      </c>
      <c r="R114" s="125">
        <v>2.5735839973422214</v>
      </c>
      <c r="S114" s="125">
        <v>1.4114858831740704</v>
      </c>
      <c r="T114" s="125">
        <v>1.5469370355057772</v>
      </c>
      <c r="U114" s="125">
        <v>0.84841986507161327</v>
      </c>
      <c r="X114" s="125">
        <v>4.0671880190464682</v>
      </c>
      <c r="Y114" s="125">
        <v>6.7664357111843865</v>
      </c>
      <c r="Z114" s="125">
        <v>0.931689780767752</v>
      </c>
      <c r="AA114" s="125">
        <v>0.8</v>
      </c>
      <c r="AC114" s="125">
        <v>1.9479075087993742</v>
      </c>
      <c r="AD114" s="125">
        <v>484.75990000000002</v>
      </c>
      <c r="AE114" s="125">
        <v>10.640901466987689</v>
      </c>
      <c r="AF114" s="125">
        <v>1.3098744770426487</v>
      </c>
      <c r="AG114" s="125">
        <v>0.23656807005069952</v>
      </c>
      <c r="AH114" s="125">
        <v>369.34217949573673</v>
      </c>
      <c r="AI114" s="125">
        <v>0.72221779330413916</v>
      </c>
      <c r="AJ114" s="125">
        <v>141.89094597042654</v>
      </c>
      <c r="AK114" s="125">
        <v>1.1880597136398787</v>
      </c>
      <c r="AL114" s="125">
        <v>5.2536109398391227E-2</v>
      </c>
      <c r="AM114" s="125">
        <v>3.2169799966777766</v>
      </c>
      <c r="AN114" s="125">
        <f t="shared" si="1"/>
        <v>0.32590038098649821</v>
      </c>
    </row>
    <row r="115" spans="1:40">
      <c r="A115" s="125" t="s">
        <v>44</v>
      </c>
      <c r="B115" s="125" t="s">
        <v>64</v>
      </c>
      <c r="C115" s="125">
        <v>6360</v>
      </c>
      <c r="D115" s="125">
        <v>21.809349999999998</v>
      </c>
      <c r="E115" s="125">
        <v>511.4</v>
      </c>
      <c r="F115" s="125">
        <v>333.15</v>
      </c>
      <c r="G115" s="125">
        <v>0.99</v>
      </c>
      <c r="H115" s="125">
        <v>1.34</v>
      </c>
      <c r="I115" s="125">
        <v>968.36670000000004</v>
      </c>
      <c r="J115" s="125">
        <v>387.37279999999998</v>
      </c>
      <c r="K115" s="125">
        <v>0.99</v>
      </c>
      <c r="L115" s="125">
        <v>1.34</v>
      </c>
      <c r="M115" s="125">
        <v>86.647370120082698</v>
      </c>
      <c r="N115" s="125">
        <v>1.0742884527158774</v>
      </c>
      <c r="O115" s="125">
        <v>1014.224796729592</v>
      </c>
      <c r="P115" s="125">
        <v>11.7052</v>
      </c>
      <c r="Q115" s="125">
        <v>12.563409239451373</v>
      </c>
      <c r="R115" s="125">
        <v>2.87795891047698</v>
      </c>
      <c r="S115" s="125">
        <v>1.7650988103817566</v>
      </c>
      <c r="T115" s="125">
        <v>1.7672369012225808</v>
      </c>
      <c r="U115" s="125">
        <v>1.0838750131751298</v>
      </c>
      <c r="X115" s="125">
        <v>4.0671880190464682</v>
      </c>
      <c r="Y115" s="125">
        <v>6.6234470273353283</v>
      </c>
      <c r="Z115" s="125">
        <v>0.931689780767752</v>
      </c>
      <c r="AA115" s="125">
        <v>0.8</v>
      </c>
      <c r="AC115" s="125">
        <v>1.8935602268283145</v>
      </c>
      <c r="AD115" s="125">
        <v>456.96670000000006</v>
      </c>
      <c r="AE115" s="125">
        <v>11.899389032590634</v>
      </c>
      <c r="AF115" s="125">
        <v>1.3092183839088627</v>
      </c>
      <c r="AG115" s="125">
        <v>0.23618548876899059</v>
      </c>
      <c r="AH115" s="125">
        <v>352.41114563428533</v>
      </c>
      <c r="AI115" s="125">
        <v>0.68911057026649469</v>
      </c>
      <c r="AJ115" s="125">
        <v>135.3865158126292</v>
      </c>
      <c r="AK115" s="125">
        <v>1.3285702128159267</v>
      </c>
      <c r="AL115" s="125">
        <v>5.8749496546853186E-2</v>
      </c>
      <c r="AM115" s="125">
        <v>3.5974486380962247</v>
      </c>
      <c r="AN115" s="125">
        <f t="shared" si="1"/>
        <v>0.37795176765901289</v>
      </c>
    </row>
    <row r="116" spans="1:40">
      <c r="A116" s="125" t="s">
        <v>44</v>
      </c>
      <c r="B116" s="125" t="s">
        <v>64</v>
      </c>
      <c r="C116" s="125">
        <v>6360</v>
      </c>
      <c r="D116" s="125">
        <v>21.809349999999998</v>
      </c>
      <c r="E116" s="125">
        <v>511.4</v>
      </c>
      <c r="F116" s="125">
        <v>333.15</v>
      </c>
      <c r="G116" s="125">
        <v>0.99</v>
      </c>
      <c r="H116" s="125">
        <v>1.34</v>
      </c>
      <c r="I116" s="125">
        <v>954.08989999999994</v>
      </c>
      <c r="J116" s="125">
        <v>386.209</v>
      </c>
      <c r="K116" s="125">
        <v>0.99</v>
      </c>
      <c r="L116" s="125">
        <v>1.34</v>
      </c>
      <c r="M116" s="125">
        <v>84.501239850073418</v>
      </c>
      <c r="N116" s="125">
        <v>1.0706597659781774</v>
      </c>
      <c r="O116" s="125">
        <v>1031.5793059161174</v>
      </c>
      <c r="P116" s="125">
        <v>12.20786</v>
      </c>
      <c r="Q116" s="125">
        <v>13.102923582504259</v>
      </c>
      <c r="R116" s="125">
        <v>3.0015479842168871</v>
      </c>
      <c r="S116" s="125">
        <v>1.9199522389555459</v>
      </c>
      <c r="T116" s="125">
        <v>1.8650878304785274</v>
      </c>
      <c r="U116" s="125">
        <v>1.1930109312945909</v>
      </c>
      <c r="X116" s="125">
        <v>4.0671880190464682</v>
      </c>
      <c r="Y116" s="125">
        <v>6.5454611844568289</v>
      </c>
      <c r="Z116" s="125">
        <v>0.931689780767752</v>
      </c>
      <c r="AA116" s="125">
        <v>0.8</v>
      </c>
      <c r="AC116" s="125">
        <v>1.8656431364880719</v>
      </c>
      <c r="AD116" s="125">
        <v>442.68989999999997</v>
      </c>
      <c r="AE116" s="125">
        <v>12.410388151881376</v>
      </c>
      <c r="AF116" s="125">
        <v>1.3105918905926455</v>
      </c>
      <c r="AG116" s="125">
        <v>0.23698597009645528</v>
      </c>
      <c r="AH116" s="125">
        <v>343.68243031279064</v>
      </c>
      <c r="AI116" s="125">
        <v>0.67204229627061141</v>
      </c>
      <c r="AJ116" s="125">
        <v>132.03318726573968</v>
      </c>
      <c r="AK116" s="125">
        <v>1.3856234116655022</v>
      </c>
      <c r="AL116" s="125">
        <v>6.1272394227733583E-2</v>
      </c>
      <c r="AM116" s="125">
        <v>3.7519349802711086</v>
      </c>
      <c r="AN116" s="125">
        <f t="shared" si="1"/>
        <v>0.40205582125688138</v>
      </c>
    </row>
    <row r="117" spans="1:40">
      <c r="A117" s="125" t="s">
        <v>44</v>
      </c>
      <c r="B117" s="125" t="s">
        <v>64</v>
      </c>
      <c r="C117" s="125">
        <v>6360</v>
      </c>
      <c r="D117" s="125">
        <v>21.809349999999998</v>
      </c>
      <c r="E117" s="125">
        <v>511.4</v>
      </c>
      <c r="F117" s="125">
        <v>333.15</v>
      </c>
      <c r="G117" s="125">
        <v>0.99</v>
      </c>
      <c r="H117" s="125">
        <v>1.34</v>
      </c>
      <c r="I117" s="125">
        <v>947.73879999999997</v>
      </c>
      <c r="J117" s="125">
        <v>385.71730000000002</v>
      </c>
      <c r="K117" s="125">
        <v>0.99</v>
      </c>
      <c r="L117" s="125">
        <v>1.34</v>
      </c>
      <c r="M117" s="125">
        <v>83.541675132641274</v>
      </c>
      <c r="N117" s="125">
        <v>1.0684026839650989</v>
      </c>
      <c r="O117" s="125">
        <v>1037.4673051352136</v>
      </c>
      <c r="P117" s="125">
        <v>12.418559999999999</v>
      </c>
      <c r="Q117" s="125">
        <v>13.32907181805362</v>
      </c>
      <c r="R117" s="125">
        <v>3.0533528181742304</v>
      </c>
      <c r="S117" s="125">
        <v>1.9867985064663232</v>
      </c>
      <c r="T117" s="125">
        <v>1.9075606442515376</v>
      </c>
      <c r="U117" s="125">
        <v>1.2412383581859066</v>
      </c>
      <c r="X117" s="125">
        <v>4.0671880190464682</v>
      </c>
      <c r="Y117" s="125">
        <v>6.5101783460586242</v>
      </c>
      <c r="Z117" s="125">
        <v>0.931689780767752</v>
      </c>
      <c r="AA117" s="125">
        <v>0.8</v>
      </c>
      <c r="AC117" s="125">
        <v>1.8532240907313258</v>
      </c>
      <c r="AD117" s="125">
        <v>436.33879999999999</v>
      </c>
      <c r="AE117" s="125">
        <v>12.624583660643877</v>
      </c>
      <c r="AF117" s="125">
        <v>1.3114523987935087</v>
      </c>
      <c r="AG117" s="125">
        <v>0.23748662100129159</v>
      </c>
      <c r="AH117" s="125">
        <v>339.7797001905509</v>
      </c>
      <c r="AI117" s="125">
        <v>0.66441083338003692</v>
      </c>
      <c r="AJ117" s="125">
        <v>130.53386739475198</v>
      </c>
      <c r="AK117" s="125">
        <v>1.4095384019125989</v>
      </c>
      <c r="AL117" s="125">
        <v>6.2329917287777148E-2</v>
      </c>
      <c r="AM117" s="125">
        <v>3.8166910227177877</v>
      </c>
      <c r="AN117" s="125">
        <f t="shared" si="1"/>
        <v>0.4127157188751282</v>
      </c>
    </row>
    <row r="118" spans="1:40">
      <c r="A118" s="125" t="s">
        <v>44</v>
      </c>
      <c r="B118" s="125" t="s">
        <v>64</v>
      </c>
      <c r="C118" s="125">
        <v>6360</v>
      </c>
      <c r="D118" s="125">
        <v>21.809349999999998</v>
      </c>
      <c r="E118" s="125">
        <v>511.4</v>
      </c>
      <c r="F118" s="125">
        <v>333.15</v>
      </c>
      <c r="G118" s="125">
        <v>0.99</v>
      </c>
      <c r="H118" s="125">
        <v>1.34</v>
      </c>
      <c r="I118" s="125">
        <v>946.05</v>
      </c>
      <c r="J118" s="125">
        <v>385.59</v>
      </c>
      <c r="K118" s="125">
        <v>0.99</v>
      </c>
      <c r="L118" s="125">
        <v>1.34</v>
      </c>
      <c r="M118" s="125">
        <v>83.286076671609152</v>
      </c>
      <c r="N118" s="125">
        <v>1.0677195224118228</v>
      </c>
      <c r="O118" s="125">
        <v>1038.862214477183</v>
      </c>
      <c r="P118" s="125">
        <v>12.473420000000001</v>
      </c>
      <c r="Q118" s="125">
        <v>13.387954078149674</v>
      </c>
      <c r="R118" s="125">
        <v>3.0668412528723792</v>
      </c>
      <c r="S118" s="125">
        <v>2.004390967250925</v>
      </c>
      <c r="T118" s="125">
        <v>1.9187742196868629</v>
      </c>
      <c r="U118" s="125">
        <v>1.2540504698546693</v>
      </c>
      <c r="X118" s="125">
        <v>4.0671880190464682</v>
      </c>
      <c r="Y118" s="125">
        <v>6.5007231554505767</v>
      </c>
      <c r="Z118" s="125">
        <v>0.931689780767752</v>
      </c>
      <c r="AA118" s="125">
        <v>0.8</v>
      </c>
      <c r="AC118" s="125">
        <v>1.8499217833398514</v>
      </c>
      <c r="AD118" s="125">
        <v>434.65</v>
      </c>
      <c r="AE118" s="125">
        <v>12.680353786940559</v>
      </c>
      <c r="AF118" s="125">
        <v>1.3117137936269807</v>
      </c>
      <c r="AG118" s="125">
        <v>0.2376385726379153</v>
      </c>
      <c r="AH118" s="125">
        <v>338.7401331921543</v>
      </c>
      <c r="AI118" s="125">
        <v>0.66237804691465452</v>
      </c>
      <c r="AJ118" s="125">
        <v>130.13449479938927</v>
      </c>
      <c r="AK118" s="125">
        <v>1.4157651525768407</v>
      </c>
      <c r="AL118" s="125">
        <v>6.2605264772703548E-2</v>
      </c>
      <c r="AM118" s="125">
        <v>3.833551566090474</v>
      </c>
      <c r="AN118" s="125">
        <f t="shared" si="1"/>
        <v>0.41554993250749611</v>
      </c>
    </row>
    <row r="119" spans="1:40">
      <c r="A119" s="125" t="s">
        <v>44</v>
      </c>
      <c r="B119" s="125" t="s">
        <v>64</v>
      </c>
      <c r="C119" s="125">
        <v>6360</v>
      </c>
      <c r="D119" s="125">
        <v>21.809349999999998</v>
      </c>
      <c r="E119" s="125">
        <v>511.4</v>
      </c>
      <c r="F119" s="125">
        <v>333.15</v>
      </c>
      <c r="G119" s="125">
        <v>0.99</v>
      </c>
      <c r="H119" s="125">
        <v>1.34</v>
      </c>
      <c r="I119" s="125">
        <v>945.45609999999999</v>
      </c>
      <c r="J119" s="125">
        <v>385.54559999999998</v>
      </c>
      <c r="K119" s="125">
        <v>0.99</v>
      </c>
      <c r="L119" s="125">
        <v>1.34</v>
      </c>
      <c r="M119" s="125">
        <v>83.196147621548235</v>
      </c>
      <c r="N119" s="125">
        <v>1.0674704485383502</v>
      </c>
      <c r="O119" s="125">
        <v>1039.337857699906</v>
      </c>
      <c r="P119" s="125">
        <v>12.492620000000001</v>
      </c>
      <c r="Q119" s="125">
        <v>13.40856179586466</v>
      </c>
      <c r="R119" s="125">
        <v>3.0715619591466128</v>
      </c>
      <c r="S119" s="125">
        <v>2.0105663266151339</v>
      </c>
      <c r="T119" s="125">
        <v>1.9227134718912167</v>
      </c>
      <c r="U119" s="125">
        <v>1.2585593303114722</v>
      </c>
      <c r="X119" s="125">
        <v>4.0671880190464682</v>
      </c>
      <c r="Y119" s="125">
        <v>6.4973903718020072</v>
      </c>
      <c r="Z119" s="125">
        <v>0.931689780767752</v>
      </c>
      <c r="AA119" s="125">
        <v>0.8</v>
      </c>
      <c r="AC119" s="125">
        <v>1.8487604614782949</v>
      </c>
      <c r="AD119" s="125">
        <v>434.05610000000001</v>
      </c>
      <c r="AE119" s="125">
        <v>12.699872314554419</v>
      </c>
      <c r="AF119" s="125">
        <v>1.3118092047501431</v>
      </c>
      <c r="AG119" s="125">
        <v>0.23769402106728818</v>
      </c>
      <c r="AH119" s="125">
        <v>338.3743748371823</v>
      </c>
      <c r="AI119" s="125">
        <v>0.66166283699097039</v>
      </c>
      <c r="AJ119" s="125">
        <v>129.9939806586691</v>
      </c>
      <c r="AK119" s="125">
        <v>1.4179444018067613</v>
      </c>
      <c r="AL119" s="125">
        <v>6.2701631373333996E-2</v>
      </c>
      <c r="AM119" s="125">
        <v>3.8394524489332658</v>
      </c>
      <c r="AN119" s="125">
        <f t="shared" si="1"/>
        <v>0.4165474304977923</v>
      </c>
    </row>
    <row r="120" spans="1:40">
      <c r="A120" s="125" t="s">
        <v>44</v>
      </c>
      <c r="B120" s="125" t="s">
        <v>64</v>
      </c>
      <c r="C120" s="125">
        <v>6360</v>
      </c>
      <c r="D120" s="125">
        <v>21.809349999999998</v>
      </c>
      <c r="E120" s="125">
        <v>511.4</v>
      </c>
      <c r="F120" s="125">
        <v>333.15</v>
      </c>
      <c r="G120" s="125">
        <v>0.99</v>
      </c>
      <c r="H120" s="125">
        <v>1.34</v>
      </c>
      <c r="I120" s="125">
        <v>929.44309999999996</v>
      </c>
      <c r="J120" s="125">
        <v>384.39870000000002</v>
      </c>
      <c r="K120" s="125">
        <v>0.99</v>
      </c>
      <c r="L120" s="125">
        <v>1.34</v>
      </c>
      <c r="M120" s="125">
        <v>80.760228244598309</v>
      </c>
      <c r="N120" s="125">
        <v>1.0594053126429586</v>
      </c>
      <c r="O120" s="125">
        <v>1048.4203994462684</v>
      </c>
      <c r="P120" s="125">
        <v>12.98189</v>
      </c>
      <c r="Q120" s="125">
        <v>13.933704402448603</v>
      </c>
      <c r="R120" s="125">
        <v>3.1918588320004786</v>
      </c>
      <c r="S120" s="125">
        <v>2.1711368309934169</v>
      </c>
      <c r="T120" s="125">
        <v>2.0263930348804728</v>
      </c>
      <c r="U120" s="125">
        <v>1.378374415556503</v>
      </c>
      <c r="X120" s="125">
        <v>4.0671880190464682</v>
      </c>
      <c r="Y120" s="125">
        <v>6.4064027938024077</v>
      </c>
      <c r="Z120" s="125">
        <v>0.931689780767752</v>
      </c>
      <c r="AA120" s="125">
        <v>0.8</v>
      </c>
      <c r="AC120" s="125">
        <v>1.817448377004302</v>
      </c>
      <c r="AD120" s="125">
        <v>418.04309999999998</v>
      </c>
      <c r="AE120" s="125">
        <v>13.197259294014456</v>
      </c>
      <c r="AF120" s="125">
        <v>1.3149305462671632</v>
      </c>
      <c r="AG120" s="125">
        <v>0.23950355945505328</v>
      </c>
      <c r="AH120" s="125">
        <v>328.46703273188854</v>
      </c>
      <c r="AI120" s="125">
        <v>0.64228985673032557</v>
      </c>
      <c r="AJ120" s="125">
        <v>126.18785663218485</v>
      </c>
      <c r="AK120" s="125">
        <v>1.4734778013235954</v>
      </c>
      <c r="AL120" s="125">
        <v>6.515732338846221E-2</v>
      </c>
      <c r="AM120" s="125">
        <v>3.9898235400005979</v>
      </c>
      <c r="AN120" s="125">
        <f t="shared" si="1"/>
        <v>0.4432641550192632</v>
      </c>
    </row>
    <row r="121" spans="1:40">
      <c r="A121" s="125" t="s">
        <v>44</v>
      </c>
      <c r="B121" s="125" t="s">
        <v>64</v>
      </c>
      <c r="C121" s="125">
        <v>6360</v>
      </c>
      <c r="D121" s="125">
        <v>21.809349999999998</v>
      </c>
      <c r="E121" s="125">
        <v>511.4</v>
      </c>
      <c r="F121" s="125">
        <v>333.15</v>
      </c>
      <c r="G121" s="125">
        <v>0.99</v>
      </c>
      <c r="H121" s="125">
        <v>1.34</v>
      </c>
      <c r="I121" s="125">
        <v>920.88549999999998</v>
      </c>
      <c r="J121" s="125">
        <v>383.81869999999998</v>
      </c>
      <c r="K121" s="125">
        <v>0.99</v>
      </c>
      <c r="L121" s="125">
        <v>1.34</v>
      </c>
      <c r="M121" s="125">
        <v>79.448412762077666</v>
      </c>
      <c r="N121" s="125">
        <v>1.0541269713976029</v>
      </c>
      <c r="O121" s="125">
        <v>1050.6925470324352</v>
      </c>
      <c r="P121" s="125">
        <v>13.22484</v>
      </c>
      <c r="Q121" s="125">
        <v>14.194467163847358</v>
      </c>
      <c r="R121" s="125">
        <v>3.251592977277824</v>
      </c>
      <c r="S121" s="125">
        <v>2.25316085711873</v>
      </c>
      <c r="T121" s="125">
        <v>2.0803556101226168</v>
      </c>
      <c r="U121" s="125">
        <v>1.4415629085100996</v>
      </c>
      <c r="X121" s="125">
        <v>4.0671880190464682</v>
      </c>
      <c r="Y121" s="125">
        <v>6.3570093188157015</v>
      </c>
      <c r="Z121" s="125">
        <v>0.931689780767752</v>
      </c>
      <c r="AA121" s="125">
        <v>0.8</v>
      </c>
      <c r="AC121" s="125">
        <v>1.8007147047321079</v>
      </c>
      <c r="AD121" s="125">
        <v>409.4855</v>
      </c>
      <c r="AE121" s="125">
        <v>13.444239829628362</v>
      </c>
      <c r="AF121" s="125">
        <v>1.3170074078008791</v>
      </c>
      <c r="AG121" s="125">
        <v>0.24070282818698319</v>
      </c>
      <c r="AH121" s="125">
        <v>323.13163251818082</v>
      </c>
      <c r="AI121" s="125">
        <v>0.63185692709851549</v>
      </c>
      <c r="AJ121" s="125">
        <v>124.13814494074633</v>
      </c>
      <c r="AK121" s="125">
        <v>1.5010532492615742</v>
      </c>
      <c r="AL121" s="125">
        <v>6.6376712223002246E-2</v>
      </c>
      <c r="AM121" s="125">
        <v>4.0644912215972795</v>
      </c>
      <c r="AN121" s="125">
        <f t="shared" si="1"/>
        <v>0.45754583930627418</v>
      </c>
    </row>
    <row r="122" spans="1:40">
      <c r="A122" s="125" t="s">
        <v>44</v>
      </c>
      <c r="B122" s="125" t="s">
        <v>64</v>
      </c>
      <c r="C122" s="125">
        <v>6360</v>
      </c>
      <c r="D122" s="125">
        <v>21.809349999999998</v>
      </c>
      <c r="E122" s="125">
        <v>511.4</v>
      </c>
      <c r="F122" s="125">
        <v>333.15</v>
      </c>
      <c r="G122" s="125">
        <v>0.99</v>
      </c>
      <c r="H122" s="125">
        <v>1.34</v>
      </c>
      <c r="I122" s="125">
        <v>893.06900000000007</v>
      </c>
      <c r="J122" s="125">
        <v>382.05410000000001</v>
      </c>
      <c r="K122" s="125">
        <v>0.99</v>
      </c>
      <c r="L122" s="125">
        <v>1.34</v>
      </c>
      <c r="M122" s="125">
        <v>75.128112793522789</v>
      </c>
      <c r="N122" s="125">
        <v>1.0327725132519858</v>
      </c>
      <c r="O122" s="125">
        <v>1047.5676227646834</v>
      </c>
      <c r="P122" s="125">
        <v>13.94375</v>
      </c>
      <c r="Q122" s="125">
        <v>14.966086660851595</v>
      </c>
      <c r="R122" s="125">
        <v>3.4283514641324699</v>
      </c>
      <c r="S122" s="125">
        <v>2.5047853829836333</v>
      </c>
      <c r="T122" s="125">
        <v>2.2513659544442159</v>
      </c>
      <c r="U122" s="125">
        <v>1.6448688512354264</v>
      </c>
      <c r="X122" s="125">
        <v>4.0671880190464682</v>
      </c>
      <c r="Y122" s="125">
        <v>6.193462227886549</v>
      </c>
      <c r="Z122" s="125">
        <v>0.931689780767752</v>
      </c>
      <c r="AA122" s="125">
        <v>0.8</v>
      </c>
      <c r="AC122" s="125">
        <v>1.7463218615565117</v>
      </c>
      <c r="AD122" s="125">
        <v>381.6690000000001</v>
      </c>
      <c r="AE122" s="125">
        <v>14.175076532069989</v>
      </c>
      <c r="AF122" s="125">
        <v>1.3256969632219475</v>
      </c>
      <c r="AG122" s="125">
        <v>0.24567979882097649</v>
      </c>
      <c r="AH122" s="125">
        <v>305.56016024738761</v>
      </c>
      <c r="AI122" s="125">
        <v>0.59749738022563081</v>
      </c>
      <c r="AJ122" s="125">
        <v>117.38767623987934</v>
      </c>
      <c r="AK122" s="125">
        <v>1.5826513775887705</v>
      </c>
      <c r="AL122" s="125">
        <v>6.9984988934420955E-2</v>
      </c>
      <c r="AM122" s="125">
        <v>4.2854393301655875</v>
      </c>
      <c r="AN122" s="125">
        <f t="shared" si="1"/>
        <v>0.5048120519314514</v>
      </c>
    </row>
    <row r="123" spans="1:40">
      <c r="A123" s="125" t="s">
        <v>44</v>
      </c>
      <c r="B123" s="125" t="s">
        <v>64</v>
      </c>
      <c r="C123" s="125">
        <v>6360</v>
      </c>
      <c r="D123" s="125">
        <v>21.809349999999998</v>
      </c>
      <c r="E123" s="125">
        <v>511.4</v>
      </c>
      <c r="F123" s="125">
        <v>333.15</v>
      </c>
      <c r="G123" s="125">
        <v>0.99</v>
      </c>
      <c r="H123" s="125">
        <v>1.34</v>
      </c>
      <c r="I123" s="125">
        <v>877.11149999999998</v>
      </c>
      <c r="J123" s="125">
        <v>381.14789999999999</v>
      </c>
      <c r="K123" s="125">
        <v>0.99</v>
      </c>
      <c r="L123" s="125">
        <v>1.34</v>
      </c>
      <c r="M123" s="125">
        <v>72.61027859600263</v>
      </c>
      <c r="N123" s="125">
        <v>1.0170055633358734</v>
      </c>
      <c r="O123" s="125">
        <v>1038.1882982907193</v>
      </c>
      <c r="P123" s="125">
        <v>14.29809</v>
      </c>
      <c r="Q123" s="125">
        <v>15.346406384556206</v>
      </c>
      <c r="R123" s="125">
        <v>3.5154730819039233</v>
      </c>
      <c r="S123" s="125">
        <v>2.6337066348736036</v>
      </c>
      <c r="T123" s="125">
        <v>2.3450030347109516</v>
      </c>
      <c r="U123" s="125">
        <v>1.7568190418264049</v>
      </c>
      <c r="X123" s="125">
        <v>4.0671880190464682</v>
      </c>
      <c r="Y123" s="125">
        <v>6.097258633937078</v>
      </c>
      <c r="Z123" s="125">
        <v>0.931689780767752</v>
      </c>
      <c r="AA123" s="125">
        <v>0.8</v>
      </c>
      <c r="AC123" s="125">
        <v>1.7151183026984749</v>
      </c>
      <c r="AD123" s="125">
        <v>365.7115</v>
      </c>
      <c r="AE123" s="125">
        <v>14.535295025543672</v>
      </c>
      <c r="AF123" s="125">
        <v>1.3324248829813736</v>
      </c>
      <c r="AG123" s="125">
        <v>0.24948864827378092</v>
      </c>
      <c r="AH123" s="125">
        <v>295.31965516528817</v>
      </c>
      <c r="AI123" s="125">
        <v>0.5774729275817132</v>
      </c>
      <c r="AJ123" s="125">
        <v>113.4535603062541</v>
      </c>
      <c r="AK123" s="125">
        <v>1.62286987613721</v>
      </c>
      <c r="AL123" s="125">
        <v>7.17634546254311E-2</v>
      </c>
      <c r="AM123" s="125">
        <v>4.3943413523799038</v>
      </c>
      <c r="AN123" s="125">
        <f t="shared" si="1"/>
        <v>0.53234887642612472</v>
      </c>
    </row>
    <row r="124" spans="1:40">
      <c r="A124" s="125" t="s">
        <v>44</v>
      </c>
      <c r="B124" s="125" t="s">
        <v>64</v>
      </c>
      <c r="C124" s="125">
        <v>6360</v>
      </c>
      <c r="D124" s="125">
        <v>21.809349999999998</v>
      </c>
      <c r="E124" s="125">
        <v>511.4</v>
      </c>
      <c r="F124" s="125">
        <v>333.15</v>
      </c>
      <c r="G124" s="125">
        <v>0.99</v>
      </c>
      <c r="H124" s="125">
        <v>1.34</v>
      </c>
      <c r="I124" s="125">
        <v>846.35929999999996</v>
      </c>
      <c r="J124" s="125">
        <v>379.54910000000001</v>
      </c>
      <c r="K124" s="125">
        <v>0.99</v>
      </c>
      <c r="L124" s="125">
        <v>1.34</v>
      </c>
      <c r="M124" s="125">
        <v>67.661146663388607</v>
      </c>
      <c r="N124" s="125">
        <v>0.98034120967911575</v>
      </c>
      <c r="O124" s="125">
        <v>1008.0976329786262</v>
      </c>
      <c r="P124" s="125">
        <v>14.89921</v>
      </c>
      <c r="Q124" s="125">
        <v>15.991599680016257</v>
      </c>
      <c r="R124" s="125">
        <v>3.6632705275063837</v>
      </c>
      <c r="S124" s="125">
        <v>2.8598142633451413</v>
      </c>
      <c r="T124" s="125">
        <v>2.5217561766377288</v>
      </c>
      <c r="U124" s="125">
        <v>1.9686654939831545</v>
      </c>
      <c r="X124" s="125">
        <v>4.0671880190464682</v>
      </c>
      <c r="Y124" s="125">
        <v>5.9082674756705451</v>
      </c>
      <c r="Z124" s="125">
        <v>0.931689780767752</v>
      </c>
      <c r="AA124" s="125">
        <v>0.8</v>
      </c>
      <c r="AC124" s="125">
        <v>1.6549849432929213</v>
      </c>
      <c r="AD124" s="125">
        <v>334.95929999999998</v>
      </c>
      <c r="AE124" s="125">
        <v>15.146387594254234</v>
      </c>
      <c r="AF124" s="125">
        <v>1.3491988686339449</v>
      </c>
      <c r="AG124" s="125">
        <v>0.25881941999218133</v>
      </c>
      <c r="AH124" s="125">
        <v>275.19060506428008</v>
      </c>
      <c r="AI124" s="125">
        <v>0.53811225081009006</v>
      </c>
      <c r="AJ124" s="125">
        <v>105.72054166154469</v>
      </c>
      <c r="AK124" s="125">
        <v>1.691098537443972</v>
      </c>
      <c r="AL124" s="125">
        <v>7.4780532280169537E-2</v>
      </c>
      <c r="AM124" s="125">
        <v>4.5790881593829793</v>
      </c>
      <c r="AN124" s="125">
        <f t="shared" si="1"/>
        <v>0.58836722662661145</v>
      </c>
    </row>
    <row r="125" spans="1:40">
      <c r="A125" s="125" t="s">
        <v>44</v>
      </c>
      <c r="B125" s="125" t="s">
        <v>64</v>
      </c>
      <c r="C125" s="125">
        <v>6360</v>
      </c>
      <c r="D125" s="125">
        <v>21.809349999999998</v>
      </c>
      <c r="E125" s="125">
        <v>511.4</v>
      </c>
      <c r="F125" s="125">
        <v>333.15</v>
      </c>
      <c r="G125" s="125">
        <v>0.99</v>
      </c>
      <c r="H125" s="125">
        <v>1.34</v>
      </c>
      <c r="I125" s="125">
        <v>829.90429999999992</v>
      </c>
      <c r="J125" s="125">
        <v>378.74459999999999</v>
      </c>
      <c r="K125" s="125">
        <v>0.99</v>
      </c>
      <c r="L125" s="125">
        <v>1.34</v>
      </c>
      <c r="M125" s="125">
        <v>64.953848009190921</v>
      </c>
      <c r="N125" s="125">
        <v>0.95772083800833108</v>
      </c>
      <c r="O125" s="125">
        <v>986.79704603307107</v>
      </c>
      <c r="P125" s="125">
        <v>15.19228</v>
      </c>
      <c r="Q125" s="125">
        <v>16.306157171200176</v>
      </c>
      <c r="R125" s="125">
        <v>3.7353276831204263</v>
      </c>
      <c r="S125" s="125">
        <v>2.9734268380374096</v>
      </c>
      <c r="T125" s="125">
        <v>2.6167850340372745</v>
      </c>
      <c r="U125" s="125">
        <v>2.0830351470211874</v>
      </c>
      <c r="X125" s="125">
        <v>4.0671880190464682</v>
      </c>
      <c r="Y125" s="125">
        <v>5.8057042525043716</v>
      </c>
      <c r="Z125" s="125">
        <v>0.931689780767752</v>
      </c>
      <c r="AA125" s="125">
        <v>0.8</v>
      </c>
      <c r="AC125" s="125">
        <v>1.6228085647242863</v>
      </c>
      <c r="AD125" s="125">
        <v>318.50429999999994</v>
      </c>
      <c r="AE125" s="125">
        <v>15.444319619660153</v>
      </c>
      <c r="AF125" s="125">
        <v>1.3604192181628902</v>
      </c>
      <c r="AG125" s="125">
        <v>0.26493246592737807</v>
      </c>
      <c r="AH125" s="125">
        <v>264.17951241394661</v>
      </c>
      <c r="AI125" s="125">
        <v>0.51658097851768991</v>
      </c>
      <c r="AJ125" s="125">
        <v>101.4903875143608</v>
      </c>
      <c r="AK125" s="125">
        <v>1.724362733892556</v>
      </c>
      <c r="AL125" s="125">
        <v>7.625147809510531E-2</v>
      </c>
      <c r="AM125" s="125">
        <v>4.6691596039005328</v>
      </c>
      <c r="AN125" s="125">
        <f t="shared" si="1"/>
        <v>0.62106160505584618</v>
      </c>
    </row>
    <row r="126" spans="1:40">
      <c r="A126" s="125" t="s">
        <v>44</v>
      </c>
      <c r="B126" s="125" t="s">
        <v>64</v>
      </c>
      <c r="C126" s="125">
        <v>6360</v>
      </c>
      <c r="D126" s="125">
        <v>21.809349999999998</v>
      </c>
      <c r="E126" s="125">
        <v>511.4</v>
      </c>
      <c r="F126" s="125">
        <v>333.15</v>
      </c>
      <c r="G126" s="125">
        <v>0.99</v>
      </c>
      <c r="H126" s="125">
        <v>1.34</v>
      </c>
      <c r="I126" s="125">
        <v>796.06539999999995</v>
      </c>
      <c r="J126" s="125">
        <v>377.20549999999997</v>
      </c>
      <c r="K126" s="125">
        <v>0.99</v>
      </c>
      <c r="L126" s="125">
        <v>1.34</v>
      </c>
      <c r="M126" s="125">
        <v>59.245677933098222</v>
      </c>
      <c r="N126" s="125">
        <v>0.90407404428384985</v>
      </c>
      <c r="O126" s="125">
        <v>931.7153048792826</v>
      </c>
      <c r="P126" s="125">
        <v>15.7263</v>
      </c>
      <c r="Q126" s="125">
        <v>16.879330786520875</v>
      </c>
      <c r="R126" s="125">
        <v>3.8666272437749147</v>
      </c>
      <c r="S126" s="125">
        <v>3.186137082755558</v>
      </c>
      <c r="T126" s="125">
        <v>2.8124349156737543</v>
      </c>
      <c r="U126" s="125">
        <v>2.3174727256399268</v>
      </c>
      <c r="X126" s="125">
        <v>4.0671880190464682</v>
      </c>
      <c r="Y126" s="125">
        <v>5.5917027314506109</v>
      </c>
      <c r="Z126" s="125">
        <v>0.931689780767752</v>
      </c>
      <c r="AA126" s="125">
        <v>0.8</v>
      </c>
      <c r="AC126" s="125">
        <v>1.5566394211967149</v>
      </c>
      <c r="AD126" s="125">
        <v>284.66539999999998</v>
      </c>
      <c r="AE126" s="125">
        <v>15.987199000720196</v>
      </c>
      <c r="AF126" s="125">
        <v>1.3901502129466934</v>
      </c>
      <c r="AG126" s="125">
        <v>0.2806532771157832</v>
      </c>
      <c r="AH126" s="125">
        <v>240.96331146978284</v>
      </c>
      <c r="AI126" s="125">
        <v>0.47118363603790148</v>
      </c>
      <c r="AJ126" s="125">
        <v>92.571371770465959</v>
      </c>
      <c r="AK126" s="125">
        <v>1.7849753731510019</v>
      </c>
      <c r="AL126" s="125">
        <v>7.8931774557015444E-2</v>
      </c>
      <c r="AM126" s="125">
        <v>4.8332840547186429</v>
      </c>
      <c r="AN126" s="125">
        <f t="shared" si="1"/>
        <v>0.69622811866898715</v>
      </c>
    </row>
    <row r="127" spans="1:40">
      <c r="A127" s="125" t="s">
        <v>44</v>
      </c>
      <c r="B127" s="125" t="s">
        <v>64</v>
      </c>
      <c r="C127" s="125">
        <v>6360</v>
      </c>
      <c r="D127" s="125">
        <v>21.809349999999998</v>
      </c>
      <c r="E127" s="125">
        <v>511.4</v>
      </c>
      <c r="F127" s="125">
        <v>333.15</v>
      </c>
      <c r="G127" s="125">
        <v>0.99</v>
      </c>
      <c r="H127" s="125">
        <v>1.34</v>
      </c>
      <c r="I127" s="125">
        <v>778.60059999999999</v>
      </c>
      <c r="J127" s="125">
        <v>376.47550000000001</v>
      </c>
      <c r="K127" s="125">
        <v>0.99</v>
      </c>
      <c r="L127" s="125">
        <v>1.34</v>
      </c>
      <c r="M127" s="125">
        <v>56.220207282292911</v>
      </c>
      <c r="N127" s="125">
        <v>0.87236115984634499</v>
      </c>
      <c r="O127" s="125">
        <v>897.47127895088283</v>
      </c>
      <c r="P127" s="125">
        <v>15.9635</v>
      </c>
      <c r="Q127" s="125">
        <v>17.133921965791444</v>
      </c>
      <c r="R127" s="125">
        <v>3.9249476358711743</v>
      </c>
      <c r="S127" s="125">
        <v>3.2829750195636556</v>
      </c>
      <c r="T127" s="125">
        <v>2.9132433101218207</v>
      </c>
      <c r="U127" s="125">
        <v>2.4367471620848877</v>
      </c>
      <c r="X127" s="125">
        <v>4.0671880190464682</v>
      </c>
      <c r="Y127" s="125">
        <v>5.4796315654570122</v>
      </c>
      <c r="Z127" s="125">
        <v>0.931689780767752</v>
      </c>
      <c r="AA127" s="125">
        <v>0.8</v>
      </c>
      <c r="AC127" s="125">
        <v>1.5224884630426281</v>
      </c>
      <c r="AD127" s="125">
        <v>267.20060000000001</v>
      </c>
      <c r="AE127" s="125">
        <v>16.228334143949745</v>
      </c>
      <c r="AF127" s="125">
        <v>1.4101505237710119</v>
      </c>
      <c r="AG127" s="125">
        <v>0.29085584613633375</v>
      </c>
      <c r="AH127" s="125">
        <v>228.65815348685072</v>
      </c>
      <c r="AI127" s="125">
        <v>0.44712192703725218</v>
      </c>
      <c r="AJ127" s="125">
        <v>87.844073878582662</v>
      </c>
      <c r="AK127" s="125">
        <v>1.811898181345645</v>
      </c>
      <c r="AL127" s="125">
        <v>8.0122303602304171E-2</v>
      </c>
      <c r="AM127" s="125">
        <v>4.9061845448389674</v>
      </c>
      <c r="AN127" s="125">
        <f t="shared" si="1"/>
        <v>0.74052352818511791</v>
      </c>
    </row>
    <row r="128" spans="1:40">
      <c r="A128" s="125" t="s">
        <v>44</v>
      </c>
      <c r="B128" s="125" t="s">
        <v>64</v>
      </c>
      <c r="C128" s="125">
        <v>6360</v>
      </c>
      <c r="D128" s="125">
        <v>21.809349999999998</v>
      </c>
      <c r="E128" s="125">
        <v>511.4</v>
      </c>
      <c r="F128" s="125">
        <v>333.15</v>
      </c>
      <c r="G128" s="125">
        <v>0.99</v>
      </c>
      <c r="H128" s="125">
        <v>1.34</v>
      </c>
      <c r="I128" s="125">
        <v>747.63149999999996</v>
      </c>
      <c r="J128" s="125">
        <v>375.22210000000001</v>
      </c>
      <c r="K128" s="125">
        <v>0.99</v>
      </c>
      <c r="L128" s="125">
        <v>1.34</v>
      </c>
      <c r="M128" s="125">
        <v>50.705348199299536</v>
      </c>
      <c r="N128" s="125">
        <v>0.81022761559204248</v>
      </c>
      <c r="O128" s="125">
        <v>828.91632781117096</v>
      </c>
      <c r="P128" s="125">
        <v>16.347709999999999</v>
      </c>
      <c r="Q128" s="125">
        <v>17.54630171700369</v>
      </c>
      <c r="R128" s="125">
        <v>4.0194133940807184</v>
      </c>
      <c r="S128" s="125">
        <v>3.4429062325506075</v>
      </c>
      <c r="T128" s="125">
        <v>3.0965949412495668</v>
      </c>
      <c r="U128" s="125">
        <v>2.6524482499395066</v>
      </c>
      <c r="X128" s="125">
        <v>4.0671880190464682</v>
      </c>
      <c r="Y128" s="125">
        <v>5.2792536027986987</v>
      </c>
      <c r="Z128" s="125">
        <v>0.931689780767752</v>
      </c>
      <c r="AA128" s="125">
        <v>0.8</v>
      </c>
      <c r="AC128" s="125">
        <v>1.4619309737974189</v>
      </c>
      <c r="AD128" s="125">
        <v>236.23149999999998</v>
      </c>
      <c r="AE128" s="125">
        <v>16.618918180122698</v>
      </c>
      <c r="AF128" s="125">
        <v>1.4559443717943565</v>
      </c>
      <c r="AG128" s="125">
        <v>0.31316057167241551</v>
      </c>
      <c r="AH128" s="125">
        <v>206.2281846977705</v>
      </c>
      <c r="AI128" s="125">
        <v>0.40326199588926581</v>
      </c>
      <c r="AJ128" s="125">
        <v>79.22710656140552</v>
      </c>
      <c r="AK128" s="125">
        <v>1.8555070014825079</v>
      </c>
      <c r="AL128" s="125">
        <v>8.2050689624607639E-2</v>
      </c>
      <c r="AM128" s="125">
        <v>5.024266742600898</v>
      </c>
      <c r="AN128" s="125">
        <f t="shared" si="1"/>
        <v>0.83422374249936526</v>
      </c>
    </row>
    <row r="129" spans="1:40">
      <c r="A129" s="125" t="s">
        <v>44</v>
      </c>
      <c r="B129" s="125" t="s">
        <v>64</v>
      </c>
      <c r="C129" s="125">
        <v>6360</v>
      </c>
      <c r="D129" s="125">
        <v>21.809349999999998</v>
      </c>
      <c r="E129" s="125">
        <v>511.4</v>
      </c>
      <c r="F129" s="125">
        <v>333.15</v>
      </c>
      <c r="G129" s="125">
        <v>0.99</v>
      </c>
      <c r="H129" s="125">
        <v>1.34</v>
      </c>
      <c r="I129" s="125">
        <v>729.88799999999992</v>
      </c>
      <c r="J129" s="125">
        <v>374.51839999999999</v>
      </c>
      <c r="K129" s="125">
        <v>0.99</v>
      </c>
      <c r="L129" s="125">
        <v>1.34</v>
      </c>
      <c r="M129" s="125">
        <v>47.452877586643908</v>
      </c>
      <c r="N129" s="125">
        <v>0.77115431255763378</v>
      </c>
      <c r="O129" s="125">
        <v>785.26825039726634</v>
      </c>
      <c r="P129" s="125">
        <v>16.548380000000002</v>
      </c>
      <c r="Q129" s="125">
        <v>17.761684566684238</v>
      </c>
      <c r="R129" s="125">
        <v>4.0687521507500124</v>
      </c>
      <c r="S129" s="125">
        <v>3.527949135568293</v>
      </c>
      <c r="T129" s="125">
        <v>3.2047863145984037</v>
      </c>
      <c r="U129" s="125">
        <v>2.778818342666654</v>
      </c>
      <c r="X129" s="125">
        <v>4.0671880190464682</v>
      </c>
      <c r="Y129" s="125">
        <v>5.163645365252286</v>
      </c>
      <c r="Z129" s="125">
        <v>0.931689780767752</v>
      </c>
      <c r="AA129" s="125">
        <v>0.8</v>
      </c>
      <c r="AC129" s="125">
        <v>1.4272350410637464</v>
      </c>
      <c r="AD129" s="125">
        <v>218.48799999999994</v>
      </c>
      <c r="AE129" s="125">
        <v>16.822917291386922</v>
      </c>
      <c r="AF129" s="125">
        <v>1.4903751057661185</v>
      </c>
      <c r="AG129" s="125">
        <v>0.32902797682872198</v>
      </c>
      <c r="AH129" s="125">
        <v>192.9997751896768</v>
      </c>
      <c r="AI129" s="125">
        <v>0.37739494561923503</v>
      </c>
      <c r="AJ129" s="125">
        <v>74.145121229131092</v>
      </c>
      <c r="AK129" s="125">
        <v>1.8782835610120994</v>
      </c>
      <c r="AL129" s="125">
        <v>8.3057871174009368E-2</v>
      </c>
      <c r="AM129" s="125">
        <v>5.0859401884375153</v>
      </c>
      <c r="AN129" s="125">
        <f t="shared" si="1"/>
        <v>0.90040044664441798</v>
      </c>
    </row>
    <row r="130" spans="1:40">
      <c r="A130" s="125" t="s">
        <v>44</v>
      </c>
      <c r="B130" s="125" t="s">
        <v>64</v>
      </c>
      <c r="C130" s="125">
        <v>6360</v>
      </c>
      <c r="D130" s="125">
        <v>21.809349999999998</v>
      </c>
      <c r="E130" s="125">
        <v>511.4</v>
      </c>
      <c r="F130" s="125">
        <v>333.15</v>
      </c>
      <c r="G130" s="125">
        <v>0.99</v>
      </c>
      <c r="H130" s="125">
        <v>1.34</v>
      </c>
      <c r="I130" s="125">
        <v>698.03359999999998</v>
      </c>
      <c r="J130" s="125">
        <v>373.32929999999999</v>
      </c>
      <c r="K130" s="125">
        <v>0.99</v>
      </c>
      <c r="L130" s="125">
        <v>1.34</v>
      </c>
      <c r="M130" s="125">
        <v>41.43319280415993</v>
      </c>
      <c r="N130" s="125">
        <v>0.69325577623765566</v>
      </c>
      <c r="O130" s="125">
        <v>699.75897829053645</v>
      </c>
      <c r="P130" s="125">
        <v>16.888850000000001</v>
      </c>
      <c r="Q130" s="125">
        <v>18.127117360977032</v>
      </c>
      <c r="R130" s="125">
        <v>4.1524635499785694</v>
      </c>
      <c r="S130" s="125">
        <v>3.6746121098905604</v>
      </c>
      <c r="T130" s="125">
        <v>3.4091215267481543</v>
      </c>
      <c r="U130" s="125">
        <v>3.0168113688420015</v>
      </c>
      <c r="X130" s="125">
        <v>4.0671880190464682</v>
      </c>
      <c r="Y130" s="125">
        <v>4.9540181737404074</v>
      </c>
      <c r="Z130" s="125">
        <v>0.931689780767752</v>
      </c>
      <c r="AA130" s="125">
        <v>0.8</v>
      </c>
      <c r="AC130" s="125">
        <v>1.3649464215877982</v>
      </c>
      <c r="AD130" s="125">
        <v>186.6336</v>
      </c>
      <c r="AE130" s="125">
        <v>17.169035681839549</v>
      </c>
      <c r="AF130" s="125">
        <v>1.5772860943775904</v>
      </c>
      <c r="AG130" s="125">
        <v>0.36599960935139803</v>
      </c>
      <c r="AH130" s="125">
        <v>168.51658536392162</v>
      </c>
      <c r="AI130" s="125">
        <v>0.32952011217035909</v>
      </c>
      <c r="AJ130" s="125">
        <v>64.739363756499884</v>
      </c>
      <c r="AK130" s="125">
        <v>1.9169277789970494</v>
      </c>
      <c r="AL130" s="125">
        <v>8.4766722034251563E-2</v>
      </c>
      <c r="AM130" s="125">
        <v>5.190579437473211</v>
      </c>
      <c r="AN130" s="125">
        <f t="shared" si="1"/>
        <v>1.0580628643941741</v>
      </c>
    </row>
    <row r="131" spans="1:40">
      <c r="A131" s="125" t="s">
        <v>44</v>
      </c>
      <c r="B131" s="125" t="s">
        <v>64</v>
      </c>
      <c r="C131" s="125">
        <v>6360</v>
      </c>
      <c r="D131" s="125">
        <v>21.809349999999998</v>
      </c>
      <c r="E131" s="125">
        <v>511.4</v>
      </c>
      <c r="F131" s="125">
        <v>333.15</v>
      </c>
      <c r="G131" s="125">
        <v>0.99</v>
      </c>
      <c r="H131" s="125">
        <v>1.34</v>
      </c>
      <c r="I131" s="125">
        <v>680.39409999999998</v>
      </c>
      <c r="J131" s="125">
        <v>372.67840000000001</v>
      </c>
      <c r="K131" s="125">
        <v>0.99</v>
      </c>
      <c r="L131" s="125">
        <v>1.34</v>
      </c>
      <c r="M131" s="125">
        <v>37.990750214779162</v>
      </c>
      <c r="N131" s="125">
        <v>0.64612433212402642</v>
      </c>
      <c r="O131" s="125">
        <v>648.51312348384261</v>
      </c>
      <c r="P131" s="125">
        <v>17.07029</v>
      </c>
      <c r="Q131" s="125">
        <v>18.321860293383658</v>
      </c>
      <c r="R131" s="125">
        <v>4.1970742242700751</v>
      </c>
      <c r="S131" s="125">
        <v>3.753990276821924</v>
      </c>
      <c r="T131" s="125">
        <v>3.5289153355738674</v>
      </c>
      <c r="U131" s="125">
        <v>3.1563687344071183</v>
      </c>
      <c r="X131" s="125">
        <v>4.0671880190464682</v>
      </c>
      <c r="Y131" s="125">
        <v>4.8372625514474272</v>
      </c>
      <c r="Z131" s="125">
        <v>0.931689780767752</v>
      </c>
      <c r="AA131" s="125">
        <v>0.8</v>
      </c>
      <c r="AC131" s="125">
        <v>1.3304538521705123</v>
      </c>
      <c r="AD131" s="125">
        <v>168.9941</v>
      </c>
      <c r="AE131" s="125">
        <v>17.353485767790517</v>
      </c>
      <c r="AF131" s="125">
        <v>1.6466255781821701</v>
      </c>
      <c r="AG131" s="125">
        <v>0.39269739687636046</v>
      </c>
      <c r="AH131" s="125">
        <v>154.51552410813687</v>
      </c>
      <c r="AI131" s="125">
        <v>0.30214220592126884</v>
      </c>
      <c r="AJ131" s="125">
        <v>59.360547210592436</v>
      </c>
      <c r="AK131" s="125">
        <v>1.9375216842197984</v>
      </c>
      <c r="AL131" s="125">
        <v>8.5677386410209347E-2</v>
      </c>
      <c r="AM131" s="125">
        <v>5.2463427803375939</v>
      </c>
      <c r="AN131" s="125">
        <f t="shared" si="1"/>
        <v>1.1812661470351737</v>
      </c>
    </row>
    <row r="132" spans="1:40">
      <c r="A132" s="125" t="s">
        <v>44</v>
      </c>
      <c r="B132" s="125" t="s">
        <v>64</v>
      </c>
      <c r="C132" s="125">
        <v>5962.5</v>
      </c>
      <c r="D132" s="125">
        <v>21.809349999999998</v>
      </c>
      <c r="E132" s="125">
        <v>511.4</v>
      </c>
      <c r="F132" s="125">
        <v>333.15</v>
      </c>
      <c r="G132" s="125">
        <v>0.99</v>
      </c>
      <c r="H132" s="125">
        <v>1.34</v>
      </c>
      <c r="I132" s="125">
        <v>933.47270000000003</v>
      </c>
      <c r="J132" s="125">
        <v>385.39870000000002</v>
      </c>
      <c r="K132" s="125">
        <v>0.99</v>
      </c>
      <c r="L132" s="125">
        <v>1.34</v>
      </c>
      <c r="M132" s="125">
        <v>81.453312989457075</v>
      </c>
      <c r="N132" s="125">
        <v>1.0480469204047898</v>
      </c>
      <c r="O132" s="125">
        <v>691.97236617215935</v>
      </c>
      <c r="P132" s="125">
        <v>8.4953249999999993</v>
      </c>
      <c r="Q132" s="125">
        <v>9.1181905988058496</v>
      </c>
      <c r="R132" s="125">
        <v>2.088746564018372</v>
      </c>
      <c r="S132" s="125">
        <v>0.92976103394050857</v>
      </c>
      <c r="T132" s="125">
        <v>1.3237783641975613</v>
      </c>
      <c r="U132" s="125">
        <v>0.58925173681031318</v>
      </c>
      <c r="X132" s="125">
        <v>4.0671880190464682</v>
      </c>
      <c r="Y132" s="125">
        <v>6.4174828881945327</v>
      </c>
      <c r="Z132" s="125">
        <v>0.931689780767752</v>
      </c>
      <c r="AA132" s="125">
        <v>0.75</v>
      </c>
      <c r="AC132" s="125">
        <v>1.8253279233476731</v>
      </c>
      <c r="AD132" s="125">
        <v>422.07270000000005</v>
      </c>
      <c r="AE132" s="125">
        <v>8.636262270896097</v>
      </c>
      <c r="AF132" s="125">
        <v>1.319433926001006</v>
      </c>
      <c r="AG132" s="125">
        <v>0.24209922126919936</v>
      </c>
      <c r="AH132" s="125">
        <v>331.28593870236188</v>
      </c>
      <c r="AI132" s="125">
        <v>0.64780199198741084</v>
      </c>
      <c r="AJ132" s="125">
        <v>144.80588975903478</v>
      </c>
      <c r="AK132" s="125">
        <v>0.96424117000909504</v>
      </c>
      <c r="AL132" s="125">
        <v>4.2638832890672135E-2</v>
      </c>
      <c r="AM132" s="125">
        <v>2.7849954186911625</v>
      </c>
      <c r="AN132" s="125">
        <f t="shared" si="1"/>
        <v>0.2883120455577603</v>
      </c>
    </row>
    <row r="133" spans="1:40">
      <c r="A133" s="125" t="s">
        <v>44</v>
      </c>
      <c r="B133" s="125" t="s">
        <v>64</v>
      </c>
      <c r="C133" s="125">
        <v>5962.5</v>
      </c>
      <c r="D133" s="125">
        <v>21.809349999999998</v>
      </c>
      <c r="E133" s="125">
        <v>511.4</v>
      </c>
      <c r="F133" s="125">
        <v>333.15</v>
      </c>
      <c r="G133" s="125">
        <v>0.99</v>
      </c>
      <c r="H133" s="125">
        <v>1.34</v>
      </c>
      <c r="I133" s="125">
        <v>932.61</v>
      </c>
      <c r="J133" s="125">
        <v>385.1995</v>
      </c>
      <c r="K133" s="125">
        <v>0.99</v>
      </c>
      <c r="L133" s="125">
        <v>1.34</v>
      </c>
      <c r="M133" s="125">
        <v>81.306629121875417</v>
      </c>
      <c r="N133" s="125">
        <v>1.0501633468019933</v>
      </c>
      <c r="O133" s="125">
        <v>698.60135522165376</v>
      </c>
      <c r="P133" s="125">
        <v>8.5921819999999993</v>
      </c>
      <c r="Q133" s="125">
        <v>9.2221490214475423</v>
      </c>
      <c r="R133" s="125">
        <v>2.112560806081051</v>
      </c>
      <c r="S133" s="125">
        <v>0.95108269639777654</v>
      </c>
      <c r="T133" s="125">
        <v>1.3394168899432466</v>
      </c>
      <c r="U133" s="125">
        <v>0.60301044288098582</v>
      </c>
      <c r="X133" s="125">
        <v>4.0671880190464682</v>
      </c>
      <c r="Y133" s="125">
        <v>6.4148675923924365</v>
      </c>
      <c r="Z133" s="125">
        <v>0.931689780767752</v>
      </c>
      <c r="AA133" s="125">
        <v>0.75</v>
      </c>
      <c r="AC133" s="125">
        <v>1.823640985529918</v>
      </c>
      <c r="AD133" s="125">
        <v>421.21000000000004</v>
      </c>
      <c r="AE133" s="125">
        <v>8.7347261265781544</v>
      </c>
      <c r="AF133" s="125">
        <v>1.3185850671026138</v>
      </c>
      <c r="AG133" s="125">
        <v>0.24161131128434138</v>
      </c>
      <c r="AH133" s="125">
        <v>330.68934783354638</v>
      </c>
      <c r="AI133" s="125">
        <v>0.64663540835656308</v>
      </c>
      <c r="AJ133" s="125">
        <v>144.54511843888963</v>
      </c>
      <c r="AK133" s="125">
        <v>0.97523468785609579</v>
      </c>
      <c r="AL133" s="125">
        <v>4.3124967257196292E-2</v>
      </c>
      <c r="AM133" s="125">
        <v>2.8167477414414015</v>
      </c>
      <c r="AN133" s="125">
        <f t="shared" si="1"/>
        <v>0.29197735184246937</v>
      </c>
    </row>
    <row r="134" spans="1:40">
      <c r="A134" s="125" t="s">
        <v>44</v>
      </c>
      <c r="B134" s="125" t="s">
        <v>64</v>
      </c>
      <c r="C134" s="125">
        <v>5962.5</v>
      </c>
      <c r="D134" s="125">
        <v>21.809349999999998</v>
      </c>
      <c r="E134" s="125">
        <v>511.4</v>
      </c>
      <c r="F134" s="125">
        <v>333.15</v>
      </c>
      <c r="G134" s="125">
        <v>0.99</v>
      </c>
      <c r="H134" s="125">
        <v>1.34</v>
      </c>
      <c r="I134" s="125">
        <v>929.53150000000005</v>
      </c>
      <c r="J134" s="125">
        <v>384.5883</v>
      </c>
      <c r="K134" s="125">
        <v>0.99</v>
      </c>
      <c r="L134" s="125">
        <v>1.34</v>
      </c>
      <c r="M134" s="125">
        <v>80.793477995271786</v>
      </c>
      <c r="N134" s="125">
        <v>1.0559349365735959</v>
      </c>
      <c r="O134" s="125">
        <v>717.6682666625004</v>
      </c>
      <c r="P134" s="125">
        <v>8.8827499999999997</v>
      </c>
      <c r="Q134" s="125">
        <v>9.5340210694167276</v>
      </c>
      <c r="R134" s="125">
        <v>2.1840027946587321</v>
      </c>
      <c r="S134" s="125">
        <v>1.0164972863754342</v>
      </c>
      <c r="T134" s="125">
        <v>1.3870945074402721</v>
      </c>
      <c r="U134" s="125">
        <v>0.64559340592768155</v>
      </c>
      <c r="X134" s="125">
        <v>4.0671880190464682</v>
      </c>
      <c r="Y134" s="125">
        <v>6.4038534882472593</v>
      </c>
      <c r="Z134" s="125">
        <v>0.931689780767752</v>
      </c>
      <c r="AA134" s="125">
        <v>0.75</v>
      </c>
      <c r="AC134" s="125">
        <v>1.8176212358232304</v>
      </c>
      <c r="AD134" s="125">
        <v>418.13150000000007</v>
      </c>
      <c r="AE134" s="125">
        <v>9.0301146438543931</v>
      </c>
      <c r="AF134" s="125">
        <v>1.3162929528188398</v>
      </c>
      <c r="AG134" s="125">
        <v>0.24029069831415481</v>
      </c>
      <c r="AH134" s="125">
        <v>328.6022657194639</v>
      </c>
      <c r="AI134" s="125">
        <v>0.64255429354607718</v>
      </c>
      <c r="AJ134" s="125">
        <v>143.63284976937206</v>
      </c>
      <c r="AK134" s="125">
        <v>1.0082149008894057</v>
      </c>
      <c r="AL134" s="125">
        <v>4.4583355299487419E-2</v>
      </c>
      <c r="AM134" s="125">
        <v>2.9120037262116427</v>
      </c>
      <c r="AN134" s="125">
        <f t="shared" ref="AN134:AN171" si="2">AE134/SQRT(1377.043*AC134-1616.279)</f>
        <v>0.30325908777447785</v>
      </c>
    </row>
    <row r="135" spans="1:40">
      <c r="A135" s="125" t="s">
        <v>44</v>
      </c>
      <c r="B135" s="125" t="s">
        <v>64</v>
      </c>
      <c r="C135" s="125">
        <v>5962.5</v>
      </c>
      <c r="D135" s="125">
        <v>21.809349999999998</v>
      </c>
      <c r="E135" s="125">
        <v>511.4</v>
      </c>
      <c r="F135" s="125">
        <v>333.15</v>
      </c>
      <c r="G135" s="125">
        <v>0.99</v>
      </c>
      <c r="H135" s="125">
        <v>1.34</v>
      </c>
      <c r="I135" s="125">
        <v>921.62530000000004</v>
      </c>
      <c r="J135" s="125">
        <v>383.38010000000003</v>
      </c>
      <c r="K135" s="125">
        <v>0.99</v>
      </c>
      <c r="L135" s="125">
        <v>1.34</v>
      </c>
      <c r="M135" s="125">
        <v>79.510345209959056</v>
      </c>
      <c r="N135" s="125">
        <v>1.0641603134387798</v>
      </c>
      <c r="O135" s="125">
        <v>752.47692239804371</v>
      </c>
      <c r="P135" s="125">
        <v>9.4638869999999997</v>
      </c>
      <c r="Q135" s="125">
        <v>10.15776623867373</v>
      </c>
      <c r="R135" s="125">
        <v>2.3268870176842134</v>
      </c>
      <c r="S135" s="125">
        <v>1.1538528768844043</v>
      </c>
      <c r="T135" s="125">
        <v>1.4858377247950585</v>
      </c>
      <c r="U135" s="125">
        <v>0.73679474779330523</v>
      </c>
      <c r="X135" s="125">
        <v>4.0671880190464682</v>
      </c>
      <c r="Y135" s="125">
        <v>6.3693947475356723</v>
      </c>
      <c r="Z135" s="125">
        <v>0.931689780767752</v>
      </c>
      <c r="AA135" s="125">
        <v>0.75</v>
      </c>
      <c r="AC135" s="125">
        <v>1.8021613218615566</v>
      </c>
      <c r="AD135" s="125">
        <v>410.22530000000006</v>
      </c>
      <c r="AE135" s="125">
        <v>9.6208926949968436</v>
      </c>
      <c r="AF135" s="125">
        <v>1.313082765581532</v>
      </c>
      <c r="AG135" s="125">
        <v>0.23843338271436026</v>
      </c>
      <c r="AH135" s="125">
        <v>323.38352342819422</v>
      </c>
      <c r="AI135" s="125">
        <v>0.6323494787410916</v>
      </c>
      <c r="AJ135" s="125">
        <v>141.35172481770499</v>
      </c>
      <c r="AK135" s="125">
        <v>1.0741754404585893</v>
      </c>
      <c r="AL135" s="125">
        <v>4.7500136403163438E-2</v>
      </c>
      <c r="AM135" s="125">
        <v>3.1025160235789513</v>
      </c>
      <c r="AN135" s="125">
        <f t="shared" si="2"/>
        <v>0.32704935020191989</v>
      </c>
    </row>
    <row r="136" spans="1:40">
      <c r="A136" s="125" t="s">
        <v>44</v>
      </c>
      <c r="B136" s="125" t="s">
        <v>64</v>
      </c>
      <c r="C136" s="125">
        <v>5962.5</v>
      </c>
      <c r="D136" s="125">
        <v>21.809349999999998</v>
      </c>
      <c r="E136" s="125">
        <v>511.4</v>
      </c>
      <c r="F136" s="125">
        <v>333.15</v>
      </c>
      <c r="G136" s="125">
        <v>0.99</v>
      </c>
      <c r="H136" s="125">
        <v>1.34</v>
      </c>
      <c r="I136" s="125">
        <v>903.12149999999997</v>
      </c>
      <c r="J136" s="125">
        <v>381.33139999999997</v>
      </c>
      <c r="K136" s="125">
        <v>0.99</v>
      </c>
      <c r="L136" s="125">
        <v>1.34</v>
      </c>
      <c r="M136" s="125">
        <v>76.562311099193451</v>
      </c>
      <c r="N136" s="125">
        <v>1.0682750406384769</v>
      </c>
      <c r="O136" s="125">
        <v>798.73248242678062</v>
      </c>
      <c r="P136" s="125">
        <v>10.432449999999999</v>
      </c>
      <c r="Q136" s="125">
        <v>11.197342951860239</v>
      </c>
      <c r="R136" s="125">
        <v>2.5650277172201728</v>
      </c>
      <c r="S136" s="125">
        <v>1.4021160762658145</v>
      </c>
      <c r="T136" s="125">
        <v>1.6625294801548591</v>
      </c>
      <c r="U136" s="125">
        <v>0.90878523290081303</v>
      </c>
      <c r="X136" s="125">
        <v>4.0671880190464682</v>
      </c>
      <c r="Y136" s="125">
        <v>6.2750466229496578</v>
      </c>
      <c r="Z136" s="125">
        <v>0.931689780767752</v>
      </c>
      <c r="AA136" s="125">
        <v>0.75</v>
      </c>
      <c r="AC136" s="125">
        <v>1.7659786859601094</v>
      </c>
      <c r="AD136" s="125">
        <v>391.72149999999999</v>
      </c>
      <c r="AE136" s="125">
        <v>10.605524135687567</v>
      </c>
      <c r="AF136" s="125">
        <v>1.3115012050397488</v>
      </c>
      <c r="AG136" s="125">
        <v>0.23751499719766392</v>
      </c>
      <c r="AH136" s="125">
        <v>311.393314413148</v>
      </c>
      <c r="AI136" s="125">
        <v>0.60890362615007432</v>
      </c>
      <c r="AJ136" s="125">
        <v>136.11077528745503</v>
      </c>
      <c r="AK136" s="125">
        <v>1.1841098244106476</v>
      </c>
      <c r="AL136" s="125">
        <v>5.2361444934748522E-2</v>
      </c>
      <c r="AM136" s="125">
        <v>3.4200369562935635</v>
      </c>
      <c r="AN136" s="125">
        <f t="shared" si="2"/>
        <v>0.37137011352420096</v>
      </c>
    </row>
    <row r="137" spans="1:40">
      <c r="A137" s="125" t="s">
        <v>44</v>
      </c>
      <c r="B137" s="125" t="s">
        <v>64</v>
      </c>
      <c r="C137" s="125">
        <v>5962.5</v>
      </c>
      <c r="D137" s="125">
        <v>21.809349999999998</v>
      </c>
      <c r="E137" s="125">
        <v>511.4</v>
      </c>
      <c r="F137" s="125">
        <v>333.15</v>
      </c>
      <c r="G137" s="125">
        <v>0.99</v>
      </c>
      <c r="H137" s="125">
        <v>1.34</v>
      </c>
      <c r="I137" s="125">
        <v>878.58429999999998</v>
      </c>
      <c r="J137" s="125">
        <v>379.17</v>
      </c>
      <c r="K137" s="125">
        <v>0.99</v>
      </c>
      <c r="L137" s="125">
        <v>1.34</v>
      </c>
      <c r="M137" s="125">
        <v>72.642702929361036</v>
      </c>
      <c r="N137" s="125">
        <v>1.0611892529830902</v>
      </c>
      <c r="O137" s="125">
        <v>828.20018252467446</v>
      </c>
      <c r="P137" s="125">
        <v>11.401009999999999</v>
      </c>
      <c r="Q137" s="125">
        <v>12.236916445090857</v>
      </c>
      <c r="R137" s="125">
        <v>2.8031676791457771</v>
      </c>
      <c r="S137" s="125">
        <v>1.6745495319331642</v>
      </c>
      <c r="T137" s="125">
        <v>1.8570368144039298</v>
      </c>
      <c r="U137" s="125">
        <v>1.1093521630822987</v>
      </c>
      <c r="X137" s="125">
        <v>4.0671880190464682</v>
      </c>
      <c r="Y137" s="125">
        <v>6.1393559414488434</v>
      </c>
      <c r="Z137" s="125">
        <v>0.931689780767752</v>
      </c>
      <c r="AA137" s="125">
        <v>0.75</v>
      </c>
      <c r="AC137" s="125">
        <v>1.7179982401251468</v>
      </c>
      <c r="AD137" s="125">
        <v>367.18430000000001</v>
      </c>
      <c r="AE137" s="125">
        <v>11.590152526608355</v>
      </c>
      <c r="AF137" s="125">
        <v>1.3142347610143632</v>
      </c>
      <c r="AG137" s="125">
        <v>0.23910093564396973</v>
      </c>
      <c r="AH137" s="125">
        <v>295.45153102544901</v>
      </c>
      <c r="AI137" s="125">
        <v>0.57773079981511344</v>
      </c>
      <c r="AJ137" s="125">
        <v>129.14258298553074</v>
      </c>
      <c r="AK137" s="125">
        <v>1.2940438678550137</v>
      </c>
      <c r="AL137" s="125">
        <v>5.7222738409052266E-2</v>
      </c>
      <c r="AM137" s="125">
        <v>3.7375569055277027</v>
      </c>
      <c r="AN137" s="125">
        <f t="shared" si="2"/>
        <v>0.4233597598756263</v>
      </c>
    </row>
    <row r="138" spans="1:40">
      <c r="A138" s="125" t="s">
        <v>44</v>
      </c>
      <c r="B138" s="125" t="s">
        <v>64</v>
      </c>
      <c r="C138" s="125">
        <v>5962.5</v>
      </c>
      <c r="D138" s="125">
        <v>21.809349999999998</v>
      </c>
      <c r="E138" s="125">
        <v>511.4</v>
      </c>
      <c r="F138" s="125">
        <v>333.15</v>
      </c>
      <c r="G138" s="125">
        <v>0.99</v>
      </c>
      <c r="H138" s="125">
        <v>1.34</v>
      </c>
      <c r="I138" s="125">
        <v>850.49530000000004</v>
      </c>
      <c r="J138" s="125">
        <v>377.1105</v>
      </c>
      <c r="K138" s="125">
        <v>0.99</v>
      </c>
      <c r="L138" s="125">
        <v>1.34</v>
      </c>
      <c r="M138" s="125">
        <v>68.091397457832414</v>
      </c>
      <c r="N138" s="125">
        <v>1.0413029198570189</v>
      </c>
      <c r="O138" s="125">
        <v>837.76999867616155</v>
      </c>
      <c r="P138" s="125">
        <v>12.303610000000001</v>
      </c>
      <c r="Q138" s="125">
        <v>13.205693841421446</v>
      </c>
      <c r="R138" s="125">
        <v>3.0250900480584422</v>
      </c>
      <c r="S138" s="125">
        <v>1.950187901188235</v>
      </c>
      <c r="T138" s="125">
        <v>2.0589979761813506</v>
      </c>
      <c r="U138" s="125">
        <v>1.3273763352258257</v>
      </c>
      <c r="X138" s="125">
        <v>4.0671880190464682</v>
      </c>
      <c r="Y138" s="125">
        <v>5.9755328282636127</v>
      </c>
      <c r="Z138" s="125">
        <v>0.931689780767752</v>
      </c>
      <c r="AA138" s="125">
        <v>0.75</v>
      </c>
      <c r="AC138" s="125">
        <v>1.6630725459522879</v>
      </c>
      <c r="AD138" s="125">
        <v>339.09530000000007</v>
      </c>
      <c r="AE138" s="125">
        <v>12.507726642455697</v>
      </c>
      <c r="AF138" s="125">
        <v>1.322169248904989</v>
      </c>
      <c r="AG138" s="125">
        <v>0.24366717738429269</v>
      </c>
      <c r="AH138" s="125">
        <v>276.94051594062717</v>
      </c>
      <c r="AI138" s="125">
        <v>0.54153405541773014</v>
      </c>
      <c r="AJ138" s="125">
        <v>121.05137325836874</v>
      </c>
      <c r="AK138" s="125">
        <v>1.3964912821740905</v>
      </c>
      <c r="AL138" s="125">
        <v>6.1752972457440145E-2</v>
      </c>
      <c r="AM138" s="125">
        <v>4.0334533974112565</v>
      </c>
      <c r="AN138" s="125">
        <f t="shared" si="2"/>
        <v>0.48183560529078434</v>
      </c>
    </row>
    <row r="139" spans="1:40">
      <c r="A139" s="125" t="s">
        <v>44</v>
      </c>
      <c r="B139" s="125" t="s">
        <v>64</v>
      </c>
      <c r="C139" s="125">
        <v>5962.5</v>
      </c>
      <c r="D139" s="125">
        <v>21.809349999999998</v>
      </c>
      <c r="E139" s="125">
        <v>511.4</v>
      </c>
      <c r="F139" s="125">
        <v>333.15</v>
      </c>
      <c r="G139" s="125">
        <v>0.99</v>
      </c>
      <c r="H139" s="125">
        <v>1.34</v>
      </c>
      <c r="I139" s="125">
        <v>847.30129999999997</v>
      </c>
      <c r="J139" s="125">
        <v>376.89710000000002</v>
      </c>
      <c r="K139" s="125">
        <v>0.99</v>
      </c>
      <c r="L139" s="125">
        <v>1.34</v>
      </c>
      <c r="M139" s="125">
        <v>67.568216060419147</v>
      </c>
      <c r="N139" s="125">
        <v>1.03834253765104</v>
      </c>
      <c r="O139" s="125">
        <v>837.52222739426804</v>
      </c>
      <c r="P139" s="125">
        <v>12.395210000000001</v>
      </c>
      <c r="Q139" s="125">
        <v>13.30400982802003</v>
      </c>
      <c r="R139" s="125">
        <v>3.0476117509084313</v>
      </c>
      <c r="S139" s="125">
        <v>1.9793341738735235</v>
      </c>
      <c r="T139" s="125">
        <v>2.0809683196038518</v>
      </c>
      <c r="U139" s="125">
        <v>1.351527703130917</v>
      </c>
      <c r="X139" s="125">
        <v>4.0671880190464682</v>
      </c>
      <c r="Y139" s="125">
        <v>5.9564626156152354</v>
      </c>
      <c r="Z139" s="125">
        <v>0.931689780767752</v>
      </c>
      <c r="AA139" s="125">
        <v>0.75</v>
      </c>
      <c r="AC139" s="125">
        <v>1.6568269456394211</v>
      </c>
      <c r="AD139" s="125">
        <v>335.90129999999999</v>
      </c>
      <c r="AE139" s="125">
        <v>12.60084628461348</v>
      </c>
      <c r="AF139" s="125">
        <v>1.3233848116176021</v>
      </c>
      <c r="AG139" s="125">
        <v>0.2443618883779706</v>
      </c>
      <c r="AH139" s="125">
        <v>274.81263882927993</v>
      </c>
      <c r="AI139" s="125">
        <v>0.53737316939632374</v>
      </c>
      <c r="AJ139" s="125">
        <v>120.1212729963007</v>
      </c>
      <c r="AK139" s="125">
        <v>1.4068881170418361</v>
      </c>
      <c r="AL139" s="125">
        <v>6.2212721447947927E-2</v>
      </c>
      <c r="AM139" s="125">
        <v>4.0634823345445747</v>
      </c>
      <c r="AN139" s="125">
        <f t="shared" si="2"/>
        <v>0.48855062599116927</v>
      </c>
    </row>
    <row r="140" spans="1:40">
      <c r="A140" s="125" t="s">
        <v>44</v>
      </c>
      <c r="B140" s="125" t="s">
        <v>64</v>
      </c>
      <c r="C140" s="125">
        <v>5962.5</v>
      </c>
      <c r="D140" s="125">
        <v>21.809349999999998</v>
      </c>
      <c r="E140" s="125">
        <v>511.4</v>
      </c>
      <c r="F140" s="125">
        <v>333.15</v>
      </c>
      <c r="G140" s="125">
        <v>0.99</v>
      </c>
      <c r="H140" s="125">
        <v>1.34</v>
      </c>
      <c r="I140" s="125">
        <v>846.2527</v>
      </c>
      <c r="J140" s="125">
        <v>376.82780000000002</v>
      </c>
      <c r="K140" s="125">
        <v>0.99</v>
      </c>
      <c r="L140" s="125">
        <v>1.34</v>
      </c>
      <c r="M140" s="125">
        <v>67.396172097490521</v>
      </c>
      <c r="N140" s="125">
        <v>1.0373419412226041</v>
      </c>
      <c r="O140" s="125">
        <v>837.38530700034221</v>
      </c>
      <c r="P140" s="125">
        <v>12.42482</v>
      </c>
      <c r="Q140" s="125">
        <v>13.335790792683612</v>
      </c>
      <c r="R140" s="125">
        <v>3.0548919651157256</v>
      </c>
      <c r="S140" s="125">
        <v>1.9888020388224947</v>
      </c>
      <c r="T140" s="125">
        <v>2.0881400822116407</v>
      </c>
      <c r="U140" s="125">
        <v>1.3594252432727725</v>
      </c>
      <c r="X140" s="125">
        <v>4.0671880190464682</v>
      </c>
      <c r="Y140" s="125">
        <v>5.9501850981378261</v>
      </c>
      <c r="Z140" s="125">
        <v>0.931689780767752</v>
      </c>
      <c r="AA140" s="125">
        <v>0.75</v>
      </c>
      <c r="AC140" s="125">
        <v>1.6547764958936255</v>
      </c>
      <c r="AD140" s="125">
        <v>334.85270000000003</v>
      </c>
      <c r="AE140" s="125">
        <v>12.630947513917977</v>
      </c>
      <c r="AF140" s="125">
        <v>1.3237977433573795</v>
      </c>
      <c r="AG140" s="125">
        <v>0.2445975942942557</v>
      </c>
      <c r="AH140" s="125">
        <v>274.11290368450733</v>
      </c>
      <c r="AI140" s="125">
        <v>0.53600489574600574</v>
      </c>
      <c r="AJ140" s="125">
        <v>119.81541706220537</v>
      </c>
      <c r="AK140" s="125">
        <v>1.4102489279636041</v>
      </c>
      <c r="AL140" s="125">
        <v>6.2361336814857699E-2</v>
      </c>
      <c r="AM140" s="125">
        <v>4.0731892868209671</v>
      </c>
      <c r="AN140" s="125">
        <f t="shared" si="2"/>
        <v>0.49076028750381795</v>
      </c>
    </row>
    <row r="141" spans="1:40">
      <c r="A141" s="125" t="s">
        <v>44</v>
      </c>
      <c r="B141" s="125" t="s">
        <v>64</v>
      </c>
      <c r="C141" s="125">
        <v>5962.5</v>
      </c>
      <c r="D141" s="125">
        <v>21.809349999999998</v>
      </c>
      <c r="E141" s="125">
        <v>511.4</v>
      </c>
      <c r="F141" s="125">
        <v>333.15</v>
      </c>
      <c r="G141" s="125">
        <v>0.99</v>
      </c>
      <c r="H141" s="125">
        <v>1.34</v>
      </c>
      <c r="I141" s="125">
        <v>826.42330000000004</v>
      </c>
      <c r="J141" s="125">
        <v>375.59089999999998</v>
      </c>
      <c r="K141" s="125">
        <v>0.99</v>
      </c>
      <c r="L141" s="125">
        <v>1.34</v>
      </c>
      <c r="M141" s="125">
        <v>64.115761628824387</v>
      </c>
      <c r="N141" s="125">
        <v>1.0156116705732996</v>
      </c>
      <c r="O141" s="125">
        <v>829.83491497908312</v>
      </c>
      <c r="P141" s="125">
        <v>12.94276</v>
      </c>
      <c r="Q141" s="125">
        <v>13.891705444418006</v>
      </c>
      <c r="R141" s="125">
        <v>3.1822379342655434</v>
      </c>
      <c r="S141" s="125">
        <v>2.1580680796527818</v>
      </c>
      <c r="T141" s="125">
        <v>2.2200669058228062</v>
      </c>
      <c r="U141" s="125">
        <v>1.5055616905828528</v>
      </c>
      <c r="X141" s="125">
        <v>4.0671880190464682</v>
      </c>
      <c r="Y141" s="125">
        <v>5.8298963720659245</v>
      </c>
      <c r="Z141" s="125">
        <v>0.931689780767752</v>
      </c>
      <c r="AA141" s="125">
        <v>0.75</v>
      </c>
      <c r="AC141" s="125">
        <v>1.6160017598748535</v>
      </c>
      <c r="AD141" s="125">
        <v>315.02330000000006</v>
      </c>
      <c r="AE141" s="125">
        <v>13.157480128101417</v>
      </c>
      <c r="AF141" s="125">
        <v>1.3330330685741629</v>
      </c>
      <c r="AG141" s="125">
        <v>0.24983106302860236</v>
      </c>
      <c r="AH141" s="125">
        <v>260.7708575287939</v>
      </c>
      <c r="AI141" s="125">
        <v>0.50991563849979249</v>
      </c>
      <c r="AJ141" s="125">
        <v>113.98357622902114</v>
      </c>
      <c r="AK141" s="125">
        <v>1.4690364459919916</v>
      </c>
      <c r="AL141" s="125">
        <v>6.4960926248739823E-2</v>
      </c>
      <c r="AM141" s="125">
        <v>4.2429839123540578</v>
      </c>
      <c r="AN141" s="125">
        <f t="shared" si="2"/>
        <v>0.53315709642718356</v>
      </c>
    </row>
    <row r="142" spans="1:40">
      <c r="A142" s="125" t="s">
        <v>44</v>
      </c>
      <c r="B142" s="125" t="s">
        <v>64</v>
      </c>
      <c r="C142" s="125">
        <v>5962.5</v>
      </c>
      <c r="D142" s="125">
        <v>21.809349999999998</v>
      </c>
      <c r="E142" s="125">
        <v>511.4</v>
      </c>
      <c r="F142" s="125">
        <v>333.15</v>
      </c>
      <c r="G142" s="125">
        <v>0.99</v>
      </c>
      <c r="H142" s="125">
        <v>1.34</v>
      </c>
      <c r="I142" s="125">
        <v>816.62189999999998</v>
      </c>
      <c r="J142" s="125">
        <v>375.02589999999998</v>
      </c>
      <c r="K142" s="125">
        <v>0.99</v>
      </c>
      <c r="L142" s="125">
        <v>1.34</v>
      </c>
      <c r="M142" s="125">
        <v>62.473969204011588</v>
      </c>
      <c r="N142" s="125">
        <v>1.0029572158347642</v>
      </c>
      <c r="O142" s="125">
        <v>822.95772627029589</v>
      </c>
      <c r="P142" s="125">
        <v>13.17281</v>
      </c>
      <c r="Q142" s="125">
        <v>14.138622395477006</v>
      </c>
      <c r="R142" s="125">
        <v>3.2388003550148881</v>
      </c>
      <c r="S142" s="125">
        <v>2.2354666772708129</v>
      </c>
      <c r="T142" s="125">
        <v>2.2832071915466403</v>
      </c>
      <c r="U142" s="125">
        <v>1.5759025054151974</v>
      </c>
      <c r="X142" s="125">
        <v>4.0671880190464682</v>
      </c>
      <c r="Y142" s="125">
        <v>5.7694325984829975</v>
      </c>
      <c r="Z142" s="125">
        <v>0.931689780767752</v>
      </c>
      <c r="AA142" s="125">
        <v>0.75</v>
      </c>
      <c r="AC142" s="125">
        <v>1.5968359405553383</v>
      </c>
      <c r="AD142" s="125">
        <v>305.22190000000001</v>
      </c>
      <c r="AE142" s="125">
        <v>13.391346652974764</v>
      </c>
      <c r="AF142" s="125">
        <v>1.3386580103268511</v>
      </c>
      <c r="AG142" s="125">
        <v>0.25298321730743106</v>
      </c>
      <c r="AH142" s="125">
        <v>254.09337904883398</v>
      </c>
      <c r="AI142" s="125">
        <v>0.49685838687687522</v>
      </c>
      <c r="AJ142" s="125">
        <v>111.06483414046505</v>
      </c>
      <c r="AK142" s="125">
        <v>1.4951477108536175</v>
      </c>
      <c r="AL142" s="125">
        <v>6.6115568773481279E-2</v>
      </c>
      <c r="AM142" s="125">
        <v>4.3184004733531838</v>
      </c>
      <c r="AN142" s="125">
        <f t="shared" si="2"/>
        <v>0.5547876752471641</v>
      </c>
    </row>
    <row r="143" spans="1:40">
      <c r="A143" s="125" t="s">
        <v>44</v>
      </c>
      <c r="B143" s="125" t="s">
        <v>64</v>
      </c>
      <c r="C143" s="125">
        <v>5962.5</v>
      </c>
      <c r="D143" s="125">
        <v>21.809349999999998</v>
      </c>
      <c r="E143" s="125">
        <v>511.4</v>
      </c>
      <c r="F143" s="125">
        <v>333.15</v>
      </c>
      <c r="G143" s="125">
        <v>0.99</v>
      </c>
      <c r="H143" s="125">
        <v>1.34</v>
      </c>
      <c r="I143" s="125">
        <v>792.04160000000002</v>
      </c>
      <c r="J143" s="125">
        <v>373.71249999999998</v>
      </c>
      <c r="K143" s="125">
        <v>0.99</v>
      </c>
      <c r="L143" s="125">
        <v>1.34</v>
      </c>
      <c r="M143" s="125">
        <v>58.290047939175651</v>
      </c>
      <c r="N143" s="125">
        <v>0.96608905178445903</v>
      </c>
      <c r="O143" s="125">
        <v>798.17611863976128</v>
      </c>
      <c r="P143" s="125">
        <v>13.69318</v>
      </c>
      <c r="Q143" s="125">
        <v>14.697145211484704</v>
      </c>
      <c r="R143" s="125">
        <v>3.3667437885525384</v>
      </c>
      <c r="S143" s="125">
        <v>2.4155719572080976</v>
      </c>
      <c r="T143" s="125">
        <v>2.438487904151915</v>
      </c>
      <c r="U143" s="125">
        <v>1.7495667532791215</v>
      </c>
      <c r="X143" s="125">
        <v>4.0671880190464682</v>
      </c>
      <c r="Y143" s="125">
        <v>5.6154389680117642</v>
      </c>
      <c r="Z143" s="125">
        <v>0.931689780767752</v>
      </c>
      <c r="AA143" s="125">
        <v>0.75</v>
      </c>
      <c r="AC143" s="125">
        <v>1.5487712162690654</v>
      </c>
      <c r="AD143" s="125">
        <v>280.64160000000004</v>
      </c>
      <c r="AE143" s="125">
        <v>13.920349580809331</v>
      </c>
      <c r="AF143" s="125">
        <v>1.3561852988403085</v>
      </c>
      <c r="AG143" s="125">
        <v>0.26263763450679423</v>
      </c>
      <c r="AH143" s="125">
        <v>237.07658460785947</v>
      </c>
      <c r="AI143" s="125">
        <v>0.46358346618666307</v>
      </c>
      <c r="AJ143" s="125">
        <v>103.62675189186781</v>
      </c>
      <c r="AK143" s="125">
        <v>1.5542110401126668</v>
      </c>
      <c r="AL143" s="125">
        <v>6.8727354605255697E-2</v>
      </c>
      <c r="AM143" s="125">
        <v>4.4889917180700509</v>
      </c>
      <c r="AN143" s="125">
        <f t="shared" si="2"/>
        <v>0.61254481347750855</v>
      </c>
    </row>
    <row r="144" spans="1:40">
      <c r="A144" s="125" t="s">
        <v>44</v>
      </c>
      <c r="B144" s="125" t="s">
        <v>64</v>
      </c>
      <c r="C144" s="125">
        <v>5962.5</v>
      </c>
      <c r="D144" s="125">
        <v>21.809349999999998</v>
      </c>
      <c r="E144" s="125">
        <v>511.4</v>
      </c>
      <c r="F144" s="125">
        <v>333.15</v>
      </c>
      <c r="G144" s="125">
        <v>0.99</v>
      </c>
      <c r="H144" s="125">
        <v>1.34</v>
      </c>
      <c r="I144" s="125">
        <v>779.03430000000003</v>
      </c>
      <c r="J144" s="125">
        <v>373.04989999999998</v>
      </c>
      <c r="K144" s="125">
        <v>0.99</v>
      </c>
      <c r="L144" s="125">
        <v>1.34</v>
      </c>
      <c r="M144" s="125">
        <v>56.032963233303938</v>
      </c>
      <c r="N144" s="125">
        <v>0.94410271185498706</v>
      </c>
      <c r="O144" s="125">
        <v>781.58979590054832</v>
      </c>
      <c r="P144" s="125">
        <v>13.94875</v>
      </c>
      <c r="Q144" s="125">
        <v>14.971453254006541</v>
      </c>
      <c r="R144" s="125">
        <v>3.4295808147247184</v>
      </c>
      <c r="S144" s="125">
        <v>2.5065820549481024</v>
      </c>
      <c r="T144" s="125">
        <v>2.5209968060170764</v>
      </c>
      <c r="U144" s="125">
        <v>1.8425241147294844</v>
      </c>
      <c r="X144" s="125">
        <v>4.0671880190464682</v>
      </c>
      <c r="Y144" s="125">
        <v>5.5330296201515763</v>
      </c>
      <c r="Z144" s="125">
        <v>0.931689780767752</v>
      </c>
      <c r="AA144" s="125">
        <v>0.75</v>
      </c>
      <c r="AC144" s="125">
        <v>1.5233365271802894</v>
      </c>
      <c r="AD144" s="125">
        <v>267.63430000000005</v>
      </c>
      <c r="AE144" s="125">
        <v>14.180159481969429</v>
      </c>
      <c r="AF144" s="125">
        <v>1.3675287748514715</v>
      </c>
      <c r="AG144" s="125">
        <v>0.26875396087470932</v>
      </c>
      <c r="AH144" s="125">
        <v>227.89659673416503</v>
      </c>
      <c r="AI144" s="125">
        <v>0.4456327663945347</v>
      </c>
      <c r="AJ144" s="125">
        <v>99.614156859207</v>
      </c>
      <c r="AK144" s="125">
        <v>1.5832188904090623</v>
      </c>
      <c r="AL144" s="125">
        <v>7.0010084403335129E-2</v>
      </c>
      <c r="AM144" s="125">
        <v>4.5727744196329576</v>
      </c>
      <c r="AN144" s="125">
        <f t="shared" si="2"/>
        <v>0.6462769168670579</v>
      </c>
    </row>
    <row r="145" spans="1:40">
      <c r="A145" s="125" t="s">
        <v>44</v>
      </c>
      <c r="B145" s="125" t="s">
        <v>64</v>
      </c>
      <c r="C145" s="125">
        <v>5962.5</v>
      </c>
      <c r="D145" s="125">
        <v>21.809349999999998</v>
      </c>
      <c r="E145" s="125">
        <v>511.4</v>
      </c>
      <c r="F145" s="125">
        <v>333.15</v>
      </c>
      <c r="G145" s="125">
        <v>0.99</v>
      </c>
      <c r="H145" s="125">
        <v>1.34</v>
      </c>
      <c r="I145" s="125">
        <v>750.52570000000003</v>
      </c>
      <c r="J145" s="125">
        <v>371.70400000000001</v>
      </c>
      <c r="K145" s="125">
        <v>0.99</v>
      </c>
      <c r="L145" s="125">
        <v>1.34</v>
      </c>
      <c r="M145" s="125">
        <v>50.975966182408328</v>
      </c>
      <c r="N145" s="125">
        <v>0.88888071744357067</v>
      </c>
      <c r="O145" s="125">
        <v>736.44774439860589</v>
      </c>
      <c r="P145" s="125">
        <v>14.446960000000001</v>
      </c>
      <c r="Q145" s="125">
        <v>15.506191329151525</v>
      </c>
      <c r="R145" s="125">
        <v>3.5520757664375244</v>
      </c>
      <c r="S145" s="125">
        <v>2.6888358236310097</v>
      </c>
      <c r="T145" s="125">
        <v>2.7004416229197878</v>
      </c>
      <c r="U145" s="125">
        <v>2.0441692837575056</v>
      </c>
      <c r="X145" s="125">
        <v>4.0671880190464682</v>
      </c>
      <c r="Y145" s="125">
        <v>5.3498508826788012</v>
      </c>
      <c r="Z145" s="125">
        <v>0.931689780767752</v>
      </c>
      <c r="AA145" s="125">
        <v>0.75</v>
      </c>
      <c r="AC145" s="125">
        <v>1.4675903402424717</v>
      </c>
      <c r="AD145" s="125">
        <v>239.12570000000005</v>
      </c>
      <c r="AE145" s="125">
        <v>14.68663477584967</v>
      </c>
      <c r="AF145" s="125">
        <v>1.3994829462268659</v>
      </c>
      <c r="AG145" s="125">
        <v>0.28545038530402134</v>
      </c>
      <c r="AH145" s="125">
        <v>207.32883891640907</v>
      </c>
      <c r="AI145" s="125">
        <v>0.40541423331327547</v>
      </c>
      <c r="AJ145" s="125">
        <v>90.623939879837039</v>
      </c>
      <c r="AK145" s="125">
        <v>1.6397670028485785</v>
      </c>
      <c r="AL145" s="125">
        <v>7.2510647116881918E-2</v>
      </c>
      <c r="AM145" s="125">
        <v>4.7361010219166992</v>
      </c>
      <c r="AN145" s="125">
        <f t="shared" si="2"/>
        <v>0.7300948757585437</v>
      </c>
    </row>
    <row r="146" spans="1:40">
      <c r="A146" s="125" t="s">
        <v>44</v>
      </c>
      <c r="B146" s="125" t="s">
        <v>64</v>
      </c>
      <c r="C146" s="125">
        <v>5962.5</v>
      </c>
      <c r="D146" s="125">
        <v>21.809349999999998</v>
      </c>
      <c r="E146" s="125">
        <v>511.4</v>
      </c>
      <c r="F146" s="125">
        <v>333.15</v>
      </c>
      <c r="G146" s="125">
        <v>0.99</v>
      </c>
      <c r="H146" s="125">
        <v>1.34</v>
      </c>
      <c r="I146" s="125">
        <v>736.64820000000009</v>
      </c>
      <c r="J146" s="125">
        <v>371.09699999999998</v>
      </c>
      <c r="K146" s="125">
        <v>0.99</v>
      </c>
      <c r="L146" s="125">
        <v>1.34</v>
      </c>
      <c r="M146" s="125">
        <v>48.455620849903433</v>
      </c>
      <c r="N146" s="125">
        <v>0.85844836398697033</v>
      </c>
      <c r="O146" s="125">
        <v>710.50137662867451</v>
      </c>
      <c r="P146" s="125">
        <v>14.662929999999999</v>
      </c>
      <c r="Q146" s="125">
        <v>15.737995953886198</v>
      </c>
      <c r="R146" s="125">
        <v>3.6051763359190976</v>
      </c>
      <c r="S146" s="125">
        <v>2.7698284230372208</v>
      </c>
      <c r="T146" s="125">
        <v>2.7878841918336144</v>
      </c>
      <c r="U146" s="125">
        <v>2.1419093423368634</v>
      </c>
      <c r="X146" s="125">
        <v>4.0671880190464682</v>
      </c>
      <c r="Y146" s="125">
        <v>5.2595190442096769</v>
      </c>
      <c r="Z146" s="125">
        <v>0.931689780767752</v>
      </c>
      <c r="AA146" s="125">
        <v>0.75</v>
      </c>
      <c r="AC146" s="125">
        <v>1.440454047712163</v>
      </c>
      <c r="AD146" s="125">
        <v>225.24820000000011</v>
      </c>
      <c r="AE146" s="125">
        <v>14.906187713806183</v>
      </c>
      <c r="AF146" s="125">
        <v>1.4195869052742218</v>
      </c>
      <c r="AG146" s="125">
        <v>0.29556972082182609</v>
      </c>
      <c r="AH146" s="125">
        <v>197.07812057618548</v>
      </c>
      <c r="AI146" s="125">
        <v>0.3853698094958653</v>
      </c>
      <c r="AJ146" s="125">
        <v>86.143325955383887</v>
      </c>
      <c r="AK146" s="125">
        <v>1.6642801516082624</v>
      </c>
      <c r="AL146" s="125">
        <v>7.3594620801161012E-2</v>
      </c>
      <c r="AM146" s="125">
        <v>4.8069017812254637</v>
      </c>
      <c r="AN146" s="125">
        <f t="shared" si="2"/>
        <v>0.77779136948973993</v>
      </c>
    </row>
    <row r="147" spans="1:40">
      <c r="A147" s="125" t="s">
        <v>44</v>
      </c>
      <c r="B147" s="125" t="s">
        <v>64</v>
      </c>
      <c r="C147" s="125">
        <v>5962.5</v>
      </c>
      <c r="D147" s="125">
        <v>21.809349999999998</v>
      </c>
      <c r="E147" s="125">
        <v>511.4</v>
      </c>
      <c r="F147" s="125">
        <v>333.15</v>
      </c>
      <c r="G147" s="125">
        <v>0.99</v>
      </c>
      <c r="H147" s="125">
        <v>1.34</v>
      </c>
      <c r="I147" s="125">
        <v>709.85709999999995</v>
      </c>
      <c r="J147" s="125">
        <v>369.97109999999998</v>
      </c>
      <c r="K147" s="125">
        <v>0.99</v>
      </c>
      <c r="L147" s="125">
        <v>1.34</v>
      </c>
      <c r="M147" s="125">
        <v>43.469647627177579</v>
      </c>
      <c r="N147" s="125">
        <v>0.79366425921356487</v>
      </c>
      <c r="O147" s="125">
        <v>653.98650356716973</v>
      </c>
      <c r="P147" s="125">
        <v>15.04467</v>
      </c>
      <c r="Q147" s="125">
        <v>16.147724608079905</v>
      </c>
      <c r="R147" s="125">
        <v>3.6990347949360718</v>
      </c>
      <c r="S147" s="125">
        <v>2.9159272005050365</v>
      </c>
      <c r="T147" s="125">
        <v>2.9594171955083937</v>
      </c>
      <c r="U147" s="125">
        <v>2.3328910314222644</v>
      </c>
      <c r="X147" s="125">
        <v>4.0671880190464682</v>
      </c>
      <c r="Y147" s="125">
        <v>5.083659722878477</v>
      </c>
      <c r="Z147" s="125">
        <v>0.931689780767752</v>
      </c>
      <c r="AA147" s="125">
        <v>0.75</v>
      </c>
      <c r="AC147" s="125">
        <v>1.3880662886194759</v>
      </c>
      <c r="AD147" s="125">
        <v>198.45709999999997</v>
      </c>
      <c r="AE147" s="125">
        <v>15.294260772728812</v>
      </c>
      <c r="AF147" s="125">
        <v>1.4699312373770623</v>
      </c>
      <c r="AG147" s="125">
        <v>0.31969606837909315</v>
      </c>
      <c r="AH147" s="125">
        <v>176.7992300214284</v>
      </c>
      <c r="AI147" s="125">
        <v>0.34571613222805708</v>
      </c>
      <c r="AJ147" s="125">
        <v>77.279373559426816</v>
      </c>
      <c r="AK147" s="125">
        <v>1.7076086204119012</v>
      </c>
      <c r="AL147" s="125">
        <v>7.5510609661820882E-2</v>
      </c>
      <c r="AM147" s="125">
        <v>4.932046393248096</v>
      </c>
      <c r="AN147" s="125">
        <f t="shared" si="2"/>
        <v>0.89024305283426786</v>
      </c>
    </row>
    <row r="148" spans="1:40">
      <c r="A148" s="125" t="s">
        <v>44</v>
      </c>
      <c r="B148" s="125" t="s">
        <v>64</v>
      </c>
      <c r="C148" s="125">
        <v>5962.5</v>
      </c>
      <c r="D148" s="125">
        <v>21.809349999999998</v>
      </c>
      <c r="E148" s="125">
        <v>511.4</v>
      </c>
      <c r="F148" s="125">
        <v>333.15</v>
      </c>
      <c r="G148" s="125">
        <v>0.99</v>
      </c>
      <c r="H148" s="125">
        <v>1.34</v>
      </c>
      <c r="I148" s="125">
        <v>695.18269999999995</v>
      </c>
      <c r="J148" s="125">
        <v>369.38049999999998</v>
      </c>
      <c r="K148" s="125">
        <v>0.99</v>
      </c>
      <c r="L148" s="125">
        <v>1.34</v>
      </c>
      <c r="M148" s="125">
        <v>40.667433346841086</v>
      </c>
      <c r="N148" s="125">
        <v>0.75460538158244572</v>
      </c>
      <c r="O148" s="125">
        <v>619.57688720012675</v>
      </c>
      <c r="P148" s="125">
        <v>15.23521</v>
      </c>
      <c r="Q148" s="125">
        <v>16.352234740028532</v>
      </c>
      <c r="R148" s="125">
        <v>3.7458828873054704</v>
      </c>
      <c r="S148" s="125">
        <v>2.9902550650425699</v>
      </c>
      <c r="T148" s="125">
        <v>3.0552736202178568</v>
      </c>
      <c r="U148" s="125">
        <v>2.4389570343773448</v>
      </c>
      <c r="X148" s="125">
        <v>4.0671880190464682</v>
      </c>
      <c r="Y148" s="125">
        <v>4.9865288330259769</v>
      </c>
      <c r="Z148" s="125">
        <v>0.931689780767752</v>
      </c>
      <c r="AA148" s="125">
        <v>0.75</v>
      </c>
      <c r="AC148" s="125">
        <v>1.3593717246773562</v>
      </c>
      <c r="AD148" s="125">
        <v>183.78269999999998</v>
      </c>
      <c r="AE148" s="125">
        <v>15.487961827496765</v>
      </c>
      <c r="AF148" s="125">
        <v>1.5065771509047245</v>
      </c>
      <c r="AG148" s="125">
        <v>0.33624375001341056</v>
      </c>
      <c r="AH148" s="125">
        <v>165.40209767364288</v>
      </c>
      <c r="AI148" s="125">
        <v>0.32342999154016994</v>
      </c>
      <c r="AJ148" s="125">
        <v>72.297659283273035</v>
      </c>
      <c r="AK148" s="125">
        <v>1.7292353989675813</v>
      </c>
      <c r="AL148" s="125">
        <v>7.6466947791202458E-2</v>
      </c>
      <c r="AM148" s="125">
        <v>4.9945105164072938</v>
      </c>
      <c r="AN148" s="125">
        <f t="shared" si="2"/>
        <v>0.9686897218683248</v>
      </c>
    </row>
    <row r="149" spans="1:40">
      <c r="A149" s="125" t="s">
        <v>44</v>
      </c>
      <c r="B149" s="125" t="s">
        <v>64</v>
      </c>
      <c r="C149" s="125">
        <v>5962.5</v>
      </c>
      <c r="D149" s="125">
        <v>21.809349999999998</v>
      </c>
      <c r="E149" s="125">
        <v>511.4</v>
      </c>
      <c r="F149" s="125">
        <v>333.15</v>
      </c>
      <c r="G149" s="125">
        <v>0.99</v>
      </c>
      <c r="H149" s="125">
        <v>1.34</v>
      </c>
      <c r="I149" s="125">
        <v>667.92660000000001</v>
      </c>
      <c r="J149" s="125">
        <v>368.3014</v>
      </c>
      <c r="K149" s="125">
        <v>0.99</v>
      </c>
      <c r="L149" s="125">
        <v>1.34</v>
      </c>
      <c r="M149" s="125">
        <v>35.31703415375663</v>
      </c>
      <c r="N149" s="125">
        <v>0.67544355309953219</v>
      </c>
      <c r="O149" s="125">
        <v>549.64818496379439</v>
      </c>
      <c r="P149" s="125">
        <v>15.56326</v>
      </c>
      <c r="Q149" s="125">
        <v>16.704336916924444</v>
      </c>
      <c r="R149" s="125">
        <v>3.8265405796628817</v>
      </c>
      <c r="S149" s="125">
        <v>3.1204159609778723</v>
      </c>
      <c r="T149" s="125">
        <v>3.2389322188276313</v>
      </c>
      <c r="U149" s="125">
        <v>2.6412409803963519</v>
      </c>
      <c r="X149" s="125">
        <v>4.0671880190464682</v>
      </c>
      <c r="Y149" s="125">
        <v>4.805058873888167</v>
      </c>
      <c r="Z149" s="125">
        <v>0.931689780767752</v>
      </c>
      <c r="AA149" s="125">
        <v>0.75</v>
      </c>
      <c r="AC149" s="125">
        <v>1.306074696910442</v>
      </c>
      <c r="AD149" s="125">
        <v>156.52660000000003</v>
      </c>
      <c r="AE149" s="125">
        <v>15.821454170399178</v>
      </c>
      <c r="AF149" s="125">
        <v>1.6016694261575195</v>
      </c>
      <c r="AG149" s="125">
        <v>0.37565143988603994</v>
      </c>
      <c r="AH149" s="125">
        <v>143.6410181784139</v>
      </c>
      <c r="AI149" s="125">
        <v>0.28087801755653868</v>
      </c>
      <c r="AJ149" s="125">
        <v>62.78583849556734</v>
      </c>
      <c r="AK149" s="125">
        <v>1.7664699151069265</v>
      </c>
      <c r="AL149" s="125">
        <v>7.8113461506661847E-2</v>
      </c>
      <c r="AM149" s="125">
        <v>5.1020541062171754</v>
      </c>
      <c r="AN149" s="125">
        <f t="shared" si="2"/>
        <v>1.1719852304091822</v>
      </c>
    </row>
    <row r="150" spans="1:40">
      <c r="A150" s="125" t="s">
        <v>44</v>
      </c>
      <c r="B150" s="125" t="s">
        <v>64</v>
      </c>
      <c r="C150" s="125">
        <v>5962.5</v>
      </c>
      <c r="D150" s="125">
        <v>21.809349999999998</v>
      </c>
      <c r="E150" s="125">
        <v>511.4</v>
      </c>
      <c r="F150" s="125">
        <v>333.15</v>
      </c>
      <c r="G150" s="125">
        <v>0.99</v>
      </c>
      <c r="H150" s="125">
        <v>1.34</v>
      </c>
      <c r="I150" s="125">
        <v>654.13069999999993</v>
      </c>
      <c r="J150" s="125">
        <v>367.75360000000001</v>
      </c>
      <c r="K150" s="125">
        <v>0.99</v>
      </c>
      <c r="L150" s="125">
        <v>1.34</v>
      </c>
      <c r="M150" s="125">
        <v>32.53198737449631</v>
      </c>
      <c r="N150" s="125">
        <v>0.63202866262501323</v>
      </c>
      <c r="O150" s="125">
        <v>511.66179614658296</v>
      </c>
      <c r="P150" s="125">
        <v>15.727959999999999</v>
      </c>
      <c r="Q150" s="125">
        <v>16.881112495448313</v>
      </c>
      <c r="R150" s="125">
        <v>3.8670353881715407</v>
      </c>
      <c r="S150" s="125">
        <v>3.1868097478705133</v>
      </c>
      <c r="T150" s="125">
        <v>3.3372708355511902</v>
      </c>
      <c r="U150" s="125">
        <v>2.7502327138121156</v>
      </c>
      <c r="X150" s="125">
        <v>4.0671880190464682</v>
      </c>
      <c r="Y150" s="125">
        <v>4.7128209770851095</v>
      </c>
      <c r="Z150" s="125">
        <v>0.931689780767752</v>
      </c>
      <c r="AA150" s="125">
        <v>0.75</v>
      </c>
      <c r="AC150" s="125">
        <v>1.279097966366836</v>
      </c>
      <c r="AD150" s="125">
        <v>142.73069999999996</v>
      </c>
      <c r="AE150" s="125">
        <v>15.98888654008681</v>
      </c>
      <c r="AF150" s="125">
        <v>1.6707193794692945</v>
      </c>
      <c r="AG150" s="125">
        <v>0.4014554375267671</v>
      </c>
      <c r="AH150" s="125">
        <v>132.31370928532237</v>
      </c>
      <c r="AI150" s="125">
        <v>0.25872841080430653</v>
      </c>
      <c r="AJ150" s="125">
        <v>57.834644221326776</v>
      </c>
      <c r="AK150" s="125">
        <v>1.7851637874073385</v>
      </c>
      <c r="AL150" s="125">
        <v>7.8940106252694958E-2</v>
      </c>
      <c r="AM150" s="125">
        <v>5.1560471842287212</v>
      </c>
      <c r="AN150" s="125">
        <f t="shared" si="2"/>
        <v>1.3273750256126446</v>
      </c>
    </row>
    <row r="151" spans="1:40">
      <c r="A151" s="125" t="s">
        <v>44</v>
      </c>
      <c r="B151" s="125" t="s">
        <v>64</v>
      </c>
      <c r="C151" s="125">
        <v>5565</v>
      </c>
      <c r="D151" s="125">
        <v>21.809349999999998</v>
      </c>
      <c r="E151" s="125">
        <v>511.4</v>
      </c>
      <c r="F151" s="125">
        <v>333.15</v>
      </c>
      <c r="G151" s="125">
        <v>0.99</v>
      </c>
      <c r="H151" s="125">
        <v>1.34</v>
      </c>
      <c r="I151" s="125">
        <v>864.11019999999996</v>
      </c>
      <c r="J151" s="125">
        <v>378.35</v>
      </c>
      <c r="K151" s="125">
        <v>0.99</v>
      </c>
      <c r="L151" s="125">
        <v>1.34</v>
      </c>
      <c r="M151" s="125">
        <v>70.335040228442082</v>
      </c>
      <c r="N151" s="125">
        <v>1.0461182232564283</v>
      </c>
      <c r="O151" s="125">
        <v>553.26182692558621</v>
      </c>
      <c r="P151" s="125">
        <v>7.8660909999999999</v>
      </c>
      <c r="Q151" s="125">
        <v>8.4428220233541751</v>
      </c>
      <c r="R151" s="125">
        <v>1.9340367259058178</v>
      </c>
      <c r="S151" s="125">
        <v>0.79713022660598509</v>
      </c>
      <c r="T151" s="125">
        <v>1.2999008554008575</v>
      </c>
      <c r="U151" s="125">
        <v>0.53576555685399063</v>
      </c>
      <c r="X151" s="125">
        <v>4.0671880190464682</v>
      </c>
      <c r="Y151" s="125">
        <v>6.0513007336811784</v>
      </c>
      <c r="Z151" s="125">
        <v>0.931689780767752</v>
      </c>
      <c r="AA151" s="125">
        <v>0.7</v>
      </c>
      <c r="AC151" s="125">
        <v>1.6896953461087212</v>
      </c>
      <c r="AD151" s="125">
        <v>352.71019999999999</v>
      </c>
      <c r="AE151" s="125">
        <v>7.9965892914909507</v>
      </c>
      <c r="AF151" s="125">
        <v>1.320211439255881</v>
      </c>
      <c r="AG151" s="125">
        <v>0.2425455724246442</v>
      </c>
      <c r="AH151" s="125">
        <v>286.06583293627102</v>
      </c>
      <c r="AI151" s="125">
        <v>0.5593778508726458</v>
      </c>
      <c r="AJ151" s="125">
        <v>143.54089842539202</v>
      </c>
      <c r="AK151" s="125">
        <v>0.89282149761639651</v>
      </c>
      <c r="AL151" s="125">
        <v>3.9480648433323044E-2</v>
      </c>
      <c r="AM151" s="125">
        <v>2.7629096084368827</v>
      </c>
      <c r="AN151" s="125">
        <f t="shared" si="2"/>
        <v>0.30000015700712224</v>
      </c>
    </row>
    <row r="152" spans="1:40">
      <c r="A152" s="125" t="s">
        <v>44</v>
      </c>
      <c r="B152" s="125" t="s">
        <v>64</v>
      </c>
      <c r="C152" s="125">
        <v>5565</v>
      </c>
      <c r="D152" s="125">
        <v>21.809349999999998</v>
      </c>
      <c r="E152" s="125">
        <v>511.4</v>
      </c>
      <c r="F152" s="125">
        <v>333.15</v>
      </c>
      <c r="G152" s="125">
        <v>0.99</v>
      </c>
      <c r="H152" s="125">
        <v>1.34</v>
      </c>
      <c r="I152" s="125">
        <v>863.39179999999999</v>
      </c>
      <c r="J152" s="125">
        <v>378.202</v>
      </c>
      <c r="K152" s="125">
        <v>0.99</v>
      </c>
      <c r="L152" s="125">
        <v>1.34</v>
      </c>
      <c r="M152" s="125">
        <v>70.209490521136146</v>
      </c>
      <c r="N152" s="125">
        <v>1.047681338550766</v>
      </c>
      <c r="O152" s="125">
        <v>557.41083803891115</v>
      </c>
      <c r="P152" s="125">
        <v>7.9392519999999998</v>
      </c>
      <c r="Q152" s="125">
        <v>8.5213470877159541</v>
      </c>
      <c r="R152" s="125">
        <v>1.9520248296417133</v>
      </c>
      <c r="S152" s="125">
        <v>0.8120270923271441</v>
      </c>
      <c r="T152" s="125">
        <v>1.3125690065746607</v>
      </c>
      <c r="U152" s="125">
        <v>0.54601846129343601</v>
      </c>
      <c r="X152" s="125">
        <v>4.0671880190464682</v>
      </c>
      <c r="Y152" s="125">
        <v>6.048635889033088</v>
      </c>
      <c r="Z152" s="125">
        <v>0.931689780767752</v>
      </c>
      <c r="AA152" s="125">
        <v>0.7</v>
      </c>
      <c r="AC152" s="125">
        <v>1.6882905748924522</v>
      </c>
      <c r="AD152" s="125">
        <v>351.99180000000001</v>
      </c>
      <c r="AE152" s="125">
        <v>8.0709640310095718</v>
      </c>
      <c r="AF152" s="125">
        <v>1.3195810124014111</v>
      </c>
      <c r="AG152" s="125">
        <v>0.2421837002790973</v>
      </c>
      <c r="AH152" s="125">
        <v>285.55519867092153</v>
      </c>
      <c r="AI152" s="125">
        <v>0.55837934820281887</v>
      </c>
      <c r="AJ152" s="125">
        <v>143.28467453293092</v>
      </c>
      <c r="AK152" s="125">
        <v>0.90112545870547023</v>
      </c>
      <c r="AL152" s="125">
        <v>3.9847850353569116E-2</v>
      </c>
      <c r="AM152" s="125">
        <v>2.7886068994881619</v>
      </c>
      <c r="AN152" s="125">
        <f t="shared" si="2"/>
        <v>0.30320343546185474</v>
      </c>
    </row>
    <row r="153" spans="1:40">
      <c r="A153" s="125" t="s">
        <v>44</v>
      </c>
      <c r="B153" s="125" t="s">
        <v>64</v>
      </c>
      <c r="C153" s="125">
        <v>5565</v>
      </c>
      <c r="D153" s="125">
        <v>21.809349999999998</v>
      </c>
      <c r="E153" s="125">
        <v>511.4</v>
      </c>
      <c r="F153" s="125">
        <v>333.15</v>
      </c>
      <c r="G153" s="125">
        <v>0.99</v>
      </c>
      <c r="H153" s="125">
        <v>1.34</v>
      </c>
      <c r="I153" s="125">
        <v>861.0533999999999</v>
      </c>
      <c r="J153" s="125">
        <v>377.76429999999999</v>
      </c>
      <c r="K153" s="125">
        <v>0.99</v>
      </c>
      <c r="L153" s="125">
        <v>1.34</v>
      </c>
      <c r="M153" s="125">
        <v>69.804632247232874</v>
      </c>
      <c r="N153" s="125">
        <v>1.0518592302124405</v>
      </c>
      <c r="O153" s="125">
        <v>569.51763588689198</v>
      </c>
      <c r="P153" s="125">
        <v>8.1587370000000004</v>
      </c>
      <c r="Q153" s="125">
        <v>8.7569244274385554</v>
      </c>
      <c r="R153" s="125">
        <v>2.0059896325896376</v>
      </c>
      <c r="S153" s="125">
        <v>0.85754557915835017</v>
      </c>
      <c r="T153" s="125">
        <v>1.3509535519956981</v>
      </c>
      <c r="U153" s="125">
        <v>0.5775225491403001</v>
      </c>
      <c r="X153" s="125">
        <v>4.0671880190464682</v>
      </c>
      <c r="Y153" s="125">
        <v>6.0392431612082396</v>
      </c>
      <c r="Z153" s="125">
        <v>0.931689780767752</v>
      </c>
      <c r="AA153" s="125">
        <v>0.7</v>
      </c>
      <c r="AC153" s="125">
        <v>1.6837180289401641</v>
      </c>
      <c r="AD153" s="125">
        <v>349.65339999999992</v>
      </c>
      <c r="AE153" s="125">
        <v>8.2940902827453957</v>
      </c>
      <c r="AF153" s="125">
        <v>1.3179081290592702</v>
      </c>
      <c r="AG153" s="125">
        <v>0.24122176808044635</v>
      </c>
      <c r="AH153" s="125">
        <v>283.90856394989032</v>
      </c>
      <c r="AI153" s="125">
        <v>0.55515949149372379</v>
      </c>
      <c r="AJ153" s="125">
        <v>142.45843315761812</v>
      </c>
      <c r="AK153" s="125">
        <v>0.92603756897781975</v>
      </c>
      <c r="AL153" s="125">
        <v>4.0949466152494902E-2</v>
      </c>
      <c r="AM153" s="125">
        <v>2.865699475128054</v>
      </c>
      <c r="AN153" s="125">
        <f t="shared" si="2"/>
        <v>0.31297938566722872</v>
      </c>
    </row>
    <row r="154" spans="1:40">
      <c r="A154" s="125" t="s">
        <v>44</v>
      </c>
      <c r="B154" s="125" t="s">
        <v>64</v>
      </c>
      <c r="C154" s="125">
        <v>5565</v>
      </c>
      <c r="D154" s="125">
        <v>21.809349999999998</v>
      </c>
      <c r="E154" s="125">
        <v>511.4</v>
      </c>
      <c r="F154" s="125">
        <v>333.15</v>
      </c>
      <c r="G154" s="125">
        <v>0.99</v>
      </c>
      <c r="H154" s="125">
        <v>1.34</v>
      </c>
      <c r="I154" s="125">
        <v>855.27539999999999</v>
      </c>
      <c r="J154" s="125">
        <v>376.87639999999999</v>
      </c>
      <c r="K154" s="125">
        <v>0.99</v>
      </c>
      <c r="L154" s="125">
        <v>1.34</v>
      </c>
      <c r="M154" s="125">
        <v>68.819836952864748</v>
      </c>
      <c r="N154" s="125">
        <v>1.0580772538915111</v>
      </c>
      <c r="O154" s="125">
        <v>591.6925186291561</v>
      </c>
      <c r="P154" s="125">
        <v>8.5977029999999992</v>
      </c>
      <c r="Q154" s="125">
        <v>9.2280748136092328</v>
      </c>
      <c r="R154" s="125">
        <v>2.1139182550050113</v>
      </c>
      <c r="S154" s="125">
        <v>0.95230534614777562</v>
      </c>
      <c r="T154" s="125">
        <v>1.4298881179985368</v>
      </c>
      <c r="U154" s="125">
        <v>0.64415456744327126</v>
      </c>
      <c r="X154" s="125">
        <v>4.0671880190464682</v>
      </c>
      <c r="Y154" s="125">
        <v>6.0128501606366918</v>
      </c>
      <c r="Z154" s="125">
        <v>0.931689780767752</v>
      </c>
      <c r="AA154" s="125">
        <v>0.7</v>
      </c>
      <c r="AC154" s="125">
        <v>1.6724196323816973</v>
      </c>
      <c r="AD154" s="125">
        <v>343.87540000000001</v>
      </c>
      <c r="AE154" s="125">
        <v>8.7403387198571192</v>
      </c>
      <c r="AF154" s="125">
        <v>1.3154505293522418</v>
      </c>
      <c r="AG154" s="125">
        <v>0.23980417530986661</v>
      </c>
      <c r="AH154" s="125">
        <v>279.90321632742291</v>
      </c>
      <c r="AI154" s="125">
        <v>0.54732736864963427</v>
      </c>
      <c r="AJ154" s="125">
        <v>140.44864684258116</v>
      </c>
      <c r="AK154" s="125">
        <v>0.97586133551226206</v>
      </c>
      <c r="AL154" s="125">
        <v>4.3152677673971331E-2</v>
      </c>
      <c r="AM154" s="125">
        <v>3.0198832214357307</v>
      </c>
      <c r="AN154" s="125">
        <f t="shared" si="2"/>
        <v>0.33353397263541623</v>
      </c>
    </row>
    <row r="155" spans="1:40">
      <c r="A155" s="125" t="s">
        <v>44</v>
      </c>
      <c r="B155" s="125" t="s">
        <v>64</v>
      </c>
      <c r="C155" s="125">
        <v>5565</v>
      </c>
      <c r="D155" s="125">
        <v>21.809349999999998</v>
      </c>
      <c r="E155" s="125">
        <v>511.4</v>
      </c>
      <c r="F155" s="125">
        <v>333.15</v>
      </c>
      <c r="G155" s="125">
        <v>0.99</v>
      </c>
      <c r="H155" s="125">
        <v>1.34</v>
      </c>
      <c r="I155" s="125">
        <v>842.83619999999996</v>
      </c>
      <c r="J155" s="125">
        <v>375.37819999999999</v>
      </c>
      <c r="K155" s="125">
        <v>0.99</v>
      </c>
      <c r="L155" s="125">
        <v>1.34</v>
      </c>
      <c r="M155" s="125">
        <v>66.723542002605939</v>
      </c>
      <c r="N155" s="125">
        <v>1.0622432621303182</v>
      </c>
      <c r="O155" s="125">
        <v>622.4851414286677</v>
      </c>
      <c r="P155" s="125">
        <v>9.3293180000000007</v>
      </c>
      <c r="Q155" s="125">
        <v>10.013330823820183</v>
      </c>
      <c r="R155" s="125">
        <v>2.2938005217145609</v>
      </c>
      <c r="S155" s="125">
        <v>1.1212724161732153</v>
      </c>
      <c r="T155" s="125">
        <v>1.5682035056070678</v>
      </c>
      <c r="U155" s="125">
        <v>0.76658075414029192</v>
      </c>
      <c r="X155" s="125">
        <v>4.0671880190464682</v>
      </c>
      <c r="Y155" s="125">
        <v>5.9490480455140453</v>
      </c>
      <c r="Z155" s="125">
        <v>0.931689780767752</v>
      </c>
      <c r="AA155" s="125">
        <v>0.7</v>
      </c>
      <c r="AC155" s="125">
        <v>1.648095815408682</v>
      </c>
      <c r="AD155" s="125">
        <v>331.43619999999999</v>
      </c>
      <c r="AE155" s="125">
        <v>9.4840911979932301</v>
      </c>
      <c r="AF155" s="125">
        <v>1.313825111750369</v>
      </c>
      <c r="AG155" s="125">
        <v>0.23886368812989833</v>
      </c>
      <c r="AH155" s="125">
        <v>271.37719062134266</v>
      </c>
      <c r="AI155" s="125">
        <v>0.53065543727286402</v>
      </c>
      <c r="AJ155" s="125">
        <v>136.17049388286929</v>
      </c>
      <c r="AK155" s="125">
        <v>1.0589015139158198</v>
      </c>
      <c r="AL155" s="125">
        <v>4.6824721971900976E-2</v>
      </c>
      <c r="AM155" s="125">
        <v>3.2768578881636587</v>
      </c>
      <c r="AN155" s="125">
        <f t="shared" si="2"/>
        <v>0.37107871952398214</v>
      </c>
    </row>
    <row r="156" spans="1:40">
      <c r="A156" s="125" t="s">
        <v>44</v>
      </c>
      <c r="B156" s="125" t="s">
        <v>64</v>
      </c>
      <c r="C156" s="125">
        <v>5565</v>
      </c>
      <c r="D156" s="125">
        <v>21.809349999999998</v>
      </c>
      <c r="E156" s="125">
        <v>511.4</v>
      </c>
      <c r="F156" s="125">
        <v>333.15</v>
      </c>
      <c r="G156" s="125">
        <v>0.99</v>
      </c>
      <c r="H156" s="125">
        <v>1.34</v>
      </c>
      <c r="I156" s="125">
        <v>827.14890000000003</v>
      </c>
      <c r="J156" s="125">
        <v>373.82639999999998</v>
      </c>
      <c r="K156" s="125">
        <v>0.99</v>
      </c>
      <c r="L156" s="125">
        <v>1.34</v>
      </c>
      <c r="M156" s="125">
        <v>64.07898556842575</v>
      </c>
      <c r="N156" s="125">
        <v>1.0590600371498515</v>
      </c>
      <c r="O156" s="125">
        <v>644.69418827494178</v>
      </c>
      <c r="P156" s="125">
        <v>10.060930000000001</v>
      </c>
      <c r="Q156" s="125">
        <v>10.798583614075241</v>
      </c>
      <c r="R156" s="125">
        <v>2.4736820508137551</v>
      </c>
      <c r="S156" s="125">
        <v>1.3040300509774996</v>
      </c>
      <c r="T156" s="125">
        <v>1.7161334475210077</v>
      </c>
      <c r="U156" s="125">
        <v>0.90467955908837372</v>
      </c>
      <c r="X156" s="125">
        <v>4.0671880190464682</v>
      </c>
      <c r="Y156" s="125">
        <v>5.8625569092737129</v>
      </c>
      <c r="Z156" s="125">
        <v>0.931689780767752</v>
      </c>
      <c r="AA156" s="125">
        <v>0.7</v>
      </c>
      <c r="AC156" s="125">
        <v>1.6174206100899493</v>
      </c>
      <c r="AD156" s="125">
        <v>315.74890000000005</v>
      </c>
      <c r="AE156" s="125">
        <v>10.227840626359402</v>
      </c>
      <c r="AF156" s="125">
        <v>1.3150655691472433</v>
      </c>
      <c r="AG156" s="125">
        <v>0.23958164257280959</v>
      </c>
      <c r="AH156" s="125">
        <v>260.62128237655281</v>
      </c>
      <c r="AI156" s="125">
        <v>0.50962315677855452</v>
      </c>
      <c r="AJ156" s="125">
        <v>130.77343993556278</v>
      </c>
      <c r="AK156" s="125">
        <v>1.1419413518116854</v>
      </c>
      <c r="AL156" s="125">
        <v>5.0496751212549262E-2</v>
      </c>
      <c r="AM156" s="125">
        <v>3.5338315011625077</v>
      </c>
      <c r="AN156" s="125">
        <f t="shared" si="2"/>
        <v>0.41378134473002398</v>
      </c>
    </row>
    <row r="157" spans="1:40">
      <c r="A157" s="125" t="s">
        <v>44</v>
      </c>
      <c r="B157" s="125" t="s">
        <v>64</v>
      </c>
      <c r="C157" s="125">
        <v>5565</v>
      </c>
      <c r="D157" s="125">
        <v>21.809349999999998</v>
      </c>
      <c r="E157" s="125">
        <v>511.4</v>
      </c>
      <c r="F157" s="125">
        <v>333.15</v>
      </c>
      <c r="G157" s="125">
        <v>0.99</v>
      </c>
      <c r="H157" s="125">
        <v>1.34</v>
      </c>
      <c r="I157" s="125">
        <v>808.06450000000007</v>
      </c>
      <c r="J157" s="125">
        <v>372.23270000000002</v>
      </c>
      <c r="K157" s="125">
        <v>0.99</v>
      </c>
      <c r="L157" s="125">
        <v>1.34</v>
      </c>
      <c r="M157" s="125">
        <v>60.835614308223583</v>
      </c>
      <c r="N157" s="125">
        <v>1.0464555869222307</v>
      </c>
      <c r="O157" s="125">
        <v>656.57080084607537</v>
      </c>
      <c r="P157" s="125">
        <v>10.792540000000001</v>
      </c>
      <c r="Q157" s="125">
        <v>11.583834257693036</v>
      </c>
      <c r="R157" s="125">
        <v>2.6535630881727119</v>
      </c>
      <c r="S157" s="125">
        <v>1.5005783589833548</v>
      </c>
      <c r="T157" s="125">
        <v>1.8763714584998727</v>
      </c>
      <c r="U157" s="125">
        <v>1.0610798803271873</v>
      </c>
      <c r="X157" s="125">
        <v>4.0671880190464682</v>
      </c>
      <c r="Y157" s="125">
        <v>5.7518142002801804</v>
      </c>
      <c r="Z157" s="125">
        <v>0.931689780767752</v>
      </c>
      <c r="AA157" s="125">
        <v>0.7</v>
      </c>
      <c r="AC157" s="125">
        <v>1.5801026593664453</v>
      </c>
      <c r="AD157" s="125">
        <v>296.66450000000009</v>
      </c>
      <c r="AE157" s="125">
        <v>10.971588021545612</v>
      </c>
      <c r="AF157" s="125">
        <v>1.3200751652541129</v>
      </c>
      <c r="AG157" s="125">
        <v>0.24246737888785208</v>
      </c>
      <c r="AH157" s="125">
        <v>247.42988164573887</v>
      </c>
      <c r="AI157" s="125">
        <v>0.48382847408239904</v>
      </c>
      <c r="AJ157" s="125">
        <v>124.15431491474202</v>
      </c>
      <c r="AK157" s="125">
        <v>1.2249809627024228</v>
      </c>
      <c r="AL157" s="125">
        <v>5.416877041500999E-2</v>
      </c>
      <c r="AM157" s="125">
        <v>3.7908044116753028</v>
      </c>
      <c r="AN157" s="125">
        <f t="shared" si="2"/>
        <v>0.46380390440872499</v>
      </c>
    </row>
    <row r="158" spans="1:40">
      <c r="A158" s="125" t="s">
        <v>44</v>
      </c>
      <c r="B158" s="125" t="s">
        <v>64</v>
      </c>
      <c r="C158" s="125">
        <v>5565</v>
      </c>
      <c r="D158" s="125">
        <v>21.809349999999998</v>
      </c>
      <c r="E158" s="125">
        <v>511.4</v>
      </c>
      <c r="F158" s="125">
        <v>333.15</v>
      </c>
      <c r="G158" s="125">
        <v>0.99</v>
      </c>
      <c r="H158" s="125">
        <v>1.34</v>
      </c>
      <c r="I158" s="125">
        <v>768.33950000000004</v>
      </c>
      <c r="J158" s="125">
        <v>369.56970000000001</v>
      </c>
      <c r="K158" s="125">
        <v>0.99</v>
      </c>
      <c r="L158" s="125">
        <v>1.34</v>
      </c>
      <c r="M158" s="125">
        <v>53.934774426730741</v>
      </c>
      <c r="N158" s="125">
        <v>0.99558871397487592</v>
      </c>
      <c r="O158" s="125">
        <v>645.93796027136682</v>
      </c>
      <c r="P158" s="125">
        <v>11.976279999999999</v>
      </c>
      <c r="Q158" s="125">
        <v>12.854364453939846</v>
      </c>
      <c r="R158" s="125">
        <v>2.944609382186314</v>
      </c>
      <c r="S158" s="125">
        <v>1.8478011246342418</v>
      </c>
      <c r="T158" s="125">
        <v>2.174161466703751</v>
      </c>
      <c r="U158" s="125">
        <v>1.3643296892332697</v>
      </c>
      <c r="X158" s="125">
        <v>4.0671880190464682</v>
      </c>
      <c r="Y158" s="125">
        <v>5.5084593225531</v>
      </c>
      <c r="Z158" s="125">
        <v>0.931689780767752</v>
      </c>
      <c r="AA158" s="125">
        <v>0.7</v>
      </c>
      <c r="AC158" s="125">
        <v>1.5024237387563553</v>
      </c>
      <c r="AD158" s="125">
        <v>256.93950000000007</v>
      </c>
      <c r="AE158" s="125">
        <v>12.174966244338801</v>
      </c>
      <c r="AF158" s="125">
        <v>1.3420217326238124</v>
      </c>
      <c r="AG158" s="125">
        <v>0.25485558416041382</v>
      </c>
      <c r="AH158" s="125">
        <v>219.36286835837313</v>
      </c>
      <c r="AI158" s="125">
        <v>0.42894577309028775</v>
      </c>
      <c r="AJ158" s="125">
        <v>110.07096821781785</v>
      </c>
      <c r="AK158" s="125">
        <v>1.359338487880867</v>
      </c>
      <c r="AL158" s="125">
        <v>6.0110072489504389E-2</v>
      </c>
      <c r="AM158" s="125">
        <v>4.2065848316947347</v>
      </c>
      <c r="AN158" s="125">
        <f t="shared" si="2"/>
        <v>0.57226793442583079</v>
      </c>
    </row>
    <row r="159" spans="1:40">
      <c r="A159" s="125" t="s">
        <v>44</v>
      </c>
      <c r="B159" s="125" t="s">
        <v>64</v>
      </c>
      <c r="C159" s="125">
        <v>5565</v>
      </c>
      <c r="D159" s="125">
        <v>21.809349999999998</v>
      </c>
      <c r="E159" s="125">
        <v>511.4</v>
      </c>
      <c r="F159" s="125">
        <v>333.15</v>
      </c>
      <c r="G159" s="125">
        <v>0.99</v>
      </c>
      <c r="H159" s="125">
        <v>1.34</v>
      </c>
      <c r="I159" s="125">
        <v>760.16610000000003</v>
      </c>
      <c r="J159" s="125">
        <v>369.09449999999998</v>
      </c>
      <c r="K159" s="125">
        <v>0.99</v>
      </c>
      <c r="L159" s="125">
        <v>1.34</v>
      </c>
      <c r="M159" s="125">
        <v>52.483453515043514</v>
      </c>
      <c r="N159" s="125">
        <v>0.98160648765251335</v>
      </c>
      <c r="O159" s="125">
        <v>639.15556810050839</v>
      </c>
      <c r="P159" s="125">
        <v>12.178229999999999</v>
      </c>
      <c r="Q159" s="125">
        <v>13.071121151468056</v>
      </c>
      <c r="R159" s="125">
        <v>2.994262852607223</v>
      </c>
      <c r="S159" s="125">
        <v>1.9106436218060092</v>
      </c>
      <c r="T159" s="125">
        <v>2.2317210205090019</v>
      </c>
      <c r="U159" s="125">
        <v>1.424064533871189</v>
      </c>
      <c r="X159" s="125">
        <v>4.0671880190464682</v>
      </c>
      <c r="Y159" s="125">
        <v>5.4568782962049793</v>
      </c>
      <c r="Z159" s="125">
        <v>0.931689780767752</v>
      </c>
      <c r="AA159" s="125">
        <v>0.7</v>
      </c>
      <c r="AC159" s="125">
        <v>1.4864413375048886</v>
      </c>
      <c r="AD159" s="125">
        <v>248.76610000000005</v>
      </c>
      <c r="AE159" s="125">
        <v>12.380266590777278</v>
      </c>
      <c r="AF159" s="125">
        <v>1.3485918501909659</v>
      </c>
      <c r="AG159" s="125">
        <v>0.25848580513192626</v>
      </c>
      <c r="AH159" s="125">
        <v>213.4600733345672</v>
      </c>
      <c r="AI159" s="125">
        <v>0.41740335028268916</v>
      </c>
      <c r="AJ159" s="125">
        <v>107.10908880621126</v>
      </c>
      <c r="AK159" s="125">
        <v>1.3822603306924528</v>
      </c>
      <c r="AL159" s="125">
        <v>6.1123678478948139E-2</v>
      </c>
      <c r="AM159" s="125">
        <v>4.2775183608674618</v>
      </c>
      <c r="AN159" s="125">
        <f t="shared" si="2"/>
        <v>0.59660323220087619</v>
      </c>
    </row>
    <row r="160" spans="1:40">
      <c r="A160" s="125" t="s">
        <v>44</v>
      </c>
      <c r="B160" s="125" t="s">
        <v>64</v>
      </c>
      <c r="C160" s="125">
        <v>5565</v>
      </c>
      <c r="D160" s="125">
        <v>21.809349999999998</v>
      </c>
      <c r="E160" s="125">
        <v>511.4</v>
      </c>
      <c r="F160" s="125">
        <v>333.15</v>
      </c>
      <c r="G160" s="125">
        <v>0.99</v>
      </c>
      <c r="H160" s="125">
        <v>1.34</v>
      </c>
      <c r="I160" s="125">
        <v>755.66390000000001</v>
      </c>
      <c r="J160" s="125">
        <v>368.84050000000002</v>
      </c>
      <c r="K160" s="125">
        <v>0.99</v>
      </c>
      <c r="L160" s="125">
        <v>1.34</v>
      </c>
      <c r="M160" s="125">
        <v>51.678837633543736</v>
      </c>
      <c r="N160" s="125">
        <v>0.97343636625926455</v>
      </c>
      <c r="O160" s="125">
        <v>634.8889904026222</v>
      </c>
      <c r="P160" s="125">
        <v>12.28528</v>
      </c>
      <c r="Q160" s="125">
        <v>13.186019910915419</v>
      </c>
      <c r="R160" s="125">
        <v>3.0205832487872599</v>
      </c>
      <c r="S160" s="125">
        <v>1.9443814238679751</v>
      </c>
      <c r="T160" s="125">
        <v>2.2631932669573964</v>
      </c>
      <c r="U160" s="125">
        <v>1.4568414721434371</v>
      </c>
      <c r="X160" s="125">
        <v>4.0671880190464682</v>
      </c>
      <c r="Y160" s="125">
        <v>5.4282946928859275</v>
      </c>
      <c r="Z160" s="125">
        <v>0.931689780767752</v>
      </c>
      <c r="AA160" s="125">
        <v>0.7</v>
      </c>
      <c r="AC160" s="125">
        <v>1.4776376613218616</v>
      </c>
      <c r="AD160" s="125">
        <v>244.26390000000004</v>
      </c>
      <c r="AE160" s="125">
        <v>12.48909254812434</v>
      </c>
      <c r="AF160" s="125">
        <v>1.3525490793915931</v>
      </c>
      <c r="AG160" s="125">
        <v>0.26065529507452517</v>
      </c>
      <c r="AH160" s="125">
        <v>210.18754926139684</v>
      </c>
      <c r="AI160" s="125">
        <v>0.41100420270120624</v>
      </c>
      <c r="AJ160" s="125">
        <v>105.46701557866071</v>
      </c>
      <c r="AK160" s="125">
        <v>1.3944107801749006</v>
      </c>
      <c r="AL160" s="125">
        <v>6.1660972468400757E-2</v>
      </c>
      <c r="AM160" s="125">
        <v>4.3151189268389434</v>
      </c>
      <c r="AN160" s="125">
        <f t="shared" si="2"/>
        <v>0.61050259215948555</v>
      </c>
    </row>
    <row r="161" spans="1:40">
      <c r="A161" s="125" t="s">
        <v>44</v>
      </c>
      <c r="B161" s="125" t="s">
        <v>64</v>
      </c>
      <c r="C161" s="125">
        <v>5565</v>
      </c>
      <c r="D161" s="125">
        <v>21.809349999999998</v>
      </c>
      <c r="E161" s="125">
        <v>511.4</v>
      </c>
      <c r="F161" s="125">
        <v>333.15</v>
      </c>
      <c r="G161" s="125">
        <v>0.99</v>
      </c>
      <c r="H161" s="125">
        <v>1.34</v>
      </c>
      <c r="I161" s="125">
        <v>745.78230000000008</v>
      </c>
      <c r="J161" s="125">
        <v>368.2978</v>
      </c>
      <c r="K161" s="125">
        <v>0.99</v>
      </c>
      <c r="L161" s="125">
        <v>1.34</v>
      </c>
      <c r="M161" s="125">
        <v>49.89923182847398</v>
      </c>
      <c r="N161" s="125">
        <v>0.95442800852047704</v>
      </c>
      <c r="O161" s="125">
        <v>624.30076622935849</v>
      </c>
      <c r="P161" s="125">
        <v>12.511229999999999</v>
      </c>
      <c r="Q161" s="125">
        <v>13.428536255587362</v>
      </c>
      <c r="R161" s="125">
        <v>3.0761376020509608</v>
      </c>
      <c r="S161" s="125">
        <v>2.0165609872609749</v>
      </c>
      <c r="T161" s="125">
        <v>2.3319203765556753</v>
      </c>
      <c r="U161" s="125">
        <v>1.5286896313174725</v>
      </c>
      <c r="X161" s="125">
        <v>4.0671880190464682</v>
      </c>
      <c r="Y161" s="125">
        <v>5.365204629533495</v>
      </c>
      <c r="Z161" s="125">
        <v>0.931689780767752</v>
      </c>
      <c r="AA161" s="125">
        <v>0.7</v>
      </c>
      <c r="AC161" s="125">
        <v>1.4583150175987487</v>
      </c>
      <c r="AD161" s="125">
        <v>234.3823000000001</v>
      </c>
      <c r="AE161" s="125">
        <v>12.718791054080143</v>
      </c>
      <c r="AF161" s="125">
        <v>1.3621129596753532</v>
      </c>
      <c r="AG161" s="125">
        <v>0.26584649760740797</v>
      </c>
      <c r="AH161" s="125">
        <v>202.94955785239159</v>
      </c>
      <c r="AI161" s="125">
        <v>0.39685091484628782</v>
      </c>
      <c r="AJ161" s="125">
        <v>101.83516699688568</v>
      </c>
      <c r="AK161" s="125">
        <v>1.4200566845238871</v>
      </c>
      <c r="AL161" s="125">
        <v>6.2795036708632568E-2</v>
      </c>
      <c r="AM161" s="125">
        <v>4.3944822886442303</v>
      </c>
      <c r="AN161" s="125">
        <f t="shared" si="2"/>
        <v>0.64249144753822496</v>
      </c>
    </row>
    <row r="162" spans="1:40">
      <c r="A162" s="125" t="s">
        <v>44</v>
      </c>
      <c r="B162" s="125" t="s">
        <v>64</v>
      </c>
      <c r="C162" s="125">
        <v>5565</v>
      </c>
      <c r="D162" s="125">
        <v>21.809349999999998</v>
      </c>
      <c r="E162" s="125">
        <v>511.4</v>
      </c>
      <c r="F162" s="125">
        <v>333.15</v>
      </c>
      <c r="G162" s="125">
        <v>0.99</v>
      </c>
      <c r="H162" s="125">
        <v>1.34</v>
      </c>
      <c r="I162" s="125">
        <v>734.73050000000001</v>
      </c>
      <c r="J162" s="125">
        <v>367.70979999999997</v>
      </c>
      <c r="K162" s="125">
        <v>0.99</v>
      </c>
      <c r="L162" s="125">
        <v>1.34</v>
      </c>
      <c r="M162" s="125">
        <v>47.885689538417282</v>
      </c>
      <c r="N162" s="125">
        <v>0.93149812944492116</v>
      </c>
      <c r="O162" s="125">
        <v>610.63831299389722</v>
      </c>
      <c r="P162" s="125">
        <v>12.752000000000001</v>
      </c>
      <c r="Q162" s="125">
        <v>13.686959182370563</v>
      </c>
      <c r="R162" s="125">
        <v>3.1353357504700861</v>
      </c>
      <c r="S162" s="125">
        <v>2.0949224607398844</v>
      </c>
      <c r="T162" s="125">
        <v>2.4086965834241982</v>
      </c>
      <c r="U162" s="125">
        <v>1.6094074049218536</v>
      </c>
      <c r="X162" s="125">
        <v>4.0671880190464682</v>
      </c>
      <c r="Y162" s="125">
        <v>5.2941495777238092</v>
      </c>
      <c r="Z162" s="125">
        <v>0.931689780767752</v>
      </c>
      <c r="AA162" s="125">
        <v>0.7</v>
      </c>
      <c r="AC162" s="125">
        <v>1.4367041454829879</v>
      </c>
      <c r="AD162" s="125">
        <v>223.33050000000003</v>
      </c>
      <c r="AE162" s="125">
        <v>12.96355542353789</v>
      </c>
      <c r="AF162" s="125">
        <v>1.3743637907083612</v>
      </c>
      <c r="AG162" s="125">
        <v>0.27239060956008621</v>
      </c>
      <c r="AH162" s="125">
        <v>194.76010277442961</v>
      </c>
      <c r="AI162" s="125">
        <v>0.38083711923040597</v>
      </c>
      <c r="AJ162" s="125">
        <v>97.725897017178141</v>
      </c>
      <c r="AK162" s="125">
        <v>1.4473846968722186</v>
      </c>
      <c r="AL162" s="125">
        <v>6.4003483918726012E-2</v>
      </c>
      <c r="AM162" s="125">
        <v>4.4790510721001233</v>
      </c>
      <c r="AN162" s="125">
        <f t="shared" si="2"/>
        <v>0.68123231731650757</v>
      </c>
    </row>
    <row r="163" spans="1:40">
      <c r="A163" s="125" t="s">
        <v>44</v>
      </c>
      <c r="B163" s="125" t="s">
        <v>64</v>
      </c>
      <c r="C163" s="125">
        <v>5565</v>
      </c>
      <c r="D163" s="125">
        <v>21.809349999999998</v>
      </c>
      <c r="E163" s="125">
        <v>511.4</v>
      </c>
      <c r="F163" s="125">
        <v>333.15</v>
      </c>
      <c r="G163" s="125">
        <v>0.99</v>
      </c>
      <c r="H163" s="125">
        <v>1.34</v>
      </c>
      <c r="I163" s="125">
        <v>710.56999999999994</v>
      </c>
      <c r="J163" s="125">
        <v>366.54559999999998</v>
      </c>
      <c r="K163" s="125">
        <v>0.99</v>
      </c>
      <c r="L163" s="125">
        <v>1.34</v>
      </c>
      <c r="M163" s="125">
        <v>43.397020077969003</v>
      </c>
      <c r="N163" s="125">
        <v>0.87361105394080862</v>
      </c>
      <c r="O163" s="125">
        <v>573.20693587864889</v>
      </c>
      <c r="P163" s="125">
        <v>13.20844</v>
      </c>
      <c r="Q163" s="125">
        <v>14.176864738299139</v>
      </c>
      <c r="R163" s="125">
        <v>3.247560707335249</v>
      </c>
      <c r="S163" s="125">
        <v>2.2475760748086353</v>
      </c>
      <c r="T163" s="125">
        <v>2.5715757819097411</v>
      </c>
      <c r="U163" s="125">
        <v>1.7797395407952838</v>
      </c>
      <c r="X163" s="125">
        <v>4.0671880190464682</v>
      </c>
      <c r="Y163" s="125">
        <v>5.1363215087485985</v>
      </c>
      <c r="Z163" s="125">
        <v>0.931689780767752</v>
      </c>
      <c r="AA163" s="125">
        <v>0.7</v>
      </c>
      <c r="AC163" s="125">
        <v>1.3894603050449745</v>
      </c>
      <c r="AD163" s="125">
        <v>199.16999999999996</v>
      </c>
      <c r="AE163" s="125">
        <v>13.42756775395819</v>
      </c>
      <c r="AF163" s="125">
        <v>1.4093235170006837</v>
      </c>
      <c r="AG163" s="125">
        <v>0.29043971243153899</v>
      </c>
      <c r="AH163" s="125">
        <v>176.50384012343457</v>
      </c>
      <c r="AI163" s="125">
        <v>0.34513852194648925</v>
      </c>
      <c r="AJ163" s="125">
        <v>88.565347097895938</v>
      </c>
      <c r="AK163" s="125">
        <v>1.4991918072110171</v>
      </c>
      <c r="AL163" s="125">
        <v>6.6294399084963734E-2</v>
      </c>
      <c r="AM163" s="125">
        <v>4.6393724390503559</v>
      </c>
      <c r="AN163" s="125">
        <f t="shared" si="2"/>
        <v>0.77905786844302183</v>
      </c>
    </row>
    <row r="164" spans="1:40">
      <c r="A164" s="125" t="s">
        <v>44</v>
      </c>
      <c r="B164" s="125" t="s">
        <v>64</v>
      </c>
      <c r="C164" s="125">
        <v>5565</v>
      </c>
      <c r="D164" s="125">
        <v>21.809349999999998</v>
      </c>
      <c r="E164" s="125">
        <v>511.4</v>
      </c>
      <c r="F164" s="125">
        <v>333.15</v>
      </c>
      <c r="G164" s="125">
        <v>0.99</v>
      </c>
      <c r="H164" s="125">
        <v>1.34</v>
      </c>
      <c r="I164" s="125">
        <v>699.7038</v>
      </c>
      <c r="J164" s="125">
        <v>366.05239999999998</v>
      </c>
      <c r="K164" s="125">
        <v>0.99</v>
      </c>
      <c r="L164" s="125">
        <v>1.34</v>
      </c>
      <c r="M164" s="125">
        <v>41.335503085173436</v>
      </c>
      <c r="N164" s="125">
        <v>0.84458450990285772</v>
      </c>
      <c r="O164" s="125">
        <v>553.67128955957151</v>
      </c>
      <c r="P164" s="125">
        <v>13.39457</v>
      </c>
      <c r="Q164" s="125">
        <v>14.376641535085106</v>
      </c>
      <c r="R164" s="125">
        <v>3.2933245124822847</v>
      </c>
      <c r="S164" s="125">
        <v>2.311366941105065</v>
      </c>
      <c r="T164" s="125">
        <v>2.6447489832849262</v>
      </c>
      <c r="U164" s="125">
        <v>1.8561746175685725</v>
      </c>
      <c r="X164" s="125">
        <v>4.0671880190464682</v>
      </c>
      <c r="Y164" s="125">
        <v>5.0645902823500455</v>
      </c>
      <c r="Z164" s="125">
        <v>0.931689780767752</v>
      </c>
      <c r="AA164" s="125">
        <v>0.7</v>
      </c>
      <c r="AC164" s="125">
        <v>1.3682123582323036</v>
      </c>
      <c r="AD164" s="125">
        <v>188.30380000000002</v>
      </c>
      <c r="AE164" s="125">
        <v>13.616785646914833</v>
      </c>
      <c r="AF164" s="125">
        <v>1.4294321459515464</v>
      </c>
      <c r="AG164" s="125">
        <v>0.30042149756306302</v>
      </c>
      <c r="AH164" s="125">
        <v>168.11926290927573</v>
      </c>
      <c r="AI164" s="125">
        <v>0.32874318128524782</v>
      </c>
      <c r="AJ164" s="125">
        <v>84.35816956157845</v>
      </c>
      <c r="AK164" s="125">
        <v>1.5203180394591997</v>
      </c>
      <c r="AL164" s="125">
        <v>6.7228603010763013E-2</v>
      </c>
      <c r="AM164" s="125">
        <v>4.7047493035461212</v>
      </c>
      <c r="AN164" s="125">
        <f t="shared" si="2"/>
        <v>0.83207528954198606</v>
      </c>
    </row>
    <row r="165" spans="1:40">
      <c r="A165" s="125" t="s">
        <v>44</v>
      </c>
      <c r="B165" s="125" t="s">
        <v>64</v>
      </c>
      <c r="C165" s="125">
        <v>5565</v>
      </c>
      <c r="D165" s="125">
        <v>21.809349999999998</v>
      </c>
      <c r="E165" s="125">
        <v>511.4</v>
      </c>
      <c r="F165" s="125">
        <v>333.15</v>
      </c>
      <c r="G165" s="125">
        <v>0.99</v>
      </c>
      <c r="H165" s="125">
        <v>1.34</v>
      </c>
      <c r="I165" s="125">
        <v>677.52760000000001</v>
      </c>
      <c r="J165" s="125">
        <v>365.07510000000002</v>
      </c>
      <c r="K165" s="125">
        <v>0.99</v>
      </c>
      <c r="L165" s="125">
        <v>1.34</v>
      </c>
      <c r="M165" s="125">
        <v>37.038738870827807</v>
      </c>
      <c r="N165" s="125">
        <v>0.77995830508614916</v>
      </c>
      <c r="O165" s="125">
        <v>509.36340392462074</v>
      </c>
      <c r="P165" s="125">
        <v>13.752179999999999</v>
      </c>
      <c r="Q165" s="125">
        <v>14.760471010713049</v>
      </c>
      <c r="R165" s="125">
        <v>3.3812501255410683</v>
      </c>
      <c r="S165" s="125">
        <v>2.4364328210470472</v>
      </c>
      <c r="T165" s="125">
        <v>2.7967485785696216</v>
      </c>
      <c r="U165" s="125">
        <v>2.0152576047456146</v>
      </c>
      <c r="X165" s="125">
        <v>4.0671880190464682</v>
      </c>
      <c r="Y165" s="125">
        <v>4.9172028209391136</v>
      </c>
      <c r="Z165" s="125">
        <v>0.931689780767752</v>
      </c>
      <c r="AA165" s="125">
        <v>0.7</v>
      </c>
      <c r="AC165" s="125">
        <v>1.3248486507626125</v>
      </c>
      <c r="AD165" s="125">
        <v>166.12760000000003</v>
      </c>
      <c r="AE165" s="125">
        <v>13.980328389622752</v>
      </c>
      <c r="AF165" s="125">
        <v>1.4821709294682217</v>
      </c>
      <c r="AG165" s="125">
        <v>0.3253139836180815</v>
      </c>
      <c r="AH165" s="125">
        <v>150.64351497602158</v>
      </c>
      <c r="AI165" s="125">
        <v>0.29457081536179425</v>
      </c>
      <c r="AJ165" s="125">
        <v>75.589263001689417</v>
      </c>
      <c r="AK165" s="125">
        <v>1.5609076913921103</v>
      </c>
      <c r="AL165" s="125">
        <v>6.9023481138443032E-2</v>
      </c>
      <c r="AM165" s="125">
        <v>4.8303573222015261</v>
      </c>
      <c r="AN165" s="125">
        <f t="shared" si="2"/>
        <v>0.96914109305412821</v>
      </c>
    </row>
    <row r="166" spans="1:40">
      <c r="A166" s="125" t="s">
        <v>44</v>
      </c>
      <c r="B166" s="125" t="s">
        <v>64</v>
      </c>
      <c r="C166" s="125">
        <v>5565</v>
      </c>
      <c r="D166" s="125">
        <v>21.809349999999998</v>
      </c>
      <c r="E166" s="125">
        <v>511.4</v>
      </c>
      <c r="F166" s="125">
        <v>333.15</v>
      </c>
      <c r="G166" s="125">
        <v>0.99</v>
      </c>
      <c r="H166" s="125">
        <v>1.34</v>
      </c>
      <c r="I166" s="125">
        <v>664.92190000000005</v>
      </c>
      <c r="J166" s="125">
        <v>364.54219999999998</v>
      </c>
      <c r="K166" s="125">
        <v>0.99</v>
      </c>
      <c r="L166" s="125">
        <v>1.34</v>
      </c>
      <c r="M166" s="125">
        <v>34.540251939302834</v>
      </c>
      <c r="N166" s="125">
        <v>0.73969249199045417</v>
      </c>
      <c r="O166" s="125">
        <v>481.46866087012091</v>
      </c>
      <c r="P166" s="125">
        <v>13.939349999999999</v>
      </c>
      <c r="Q166" s="125">
        <v>14.961364058875242</v>
      </c>
      <c r="R166" s="125">
        <v>3.4272696356112915</v>
      </c>
      <c r="S166" s="125">
        <v>2.5032048444888333</v>
      </c>
      <c r="T166" s="125">
        <v>2.8843393330492955</v>
      </c>
      <c r="U166" s="125">
        <v>2.1066600995199796</v>
      </c>
      <c r="X166" s="125">
        <v>4.0671880190464682</v>
      </c>
      <c r="Y166" s="125">
        <v>4.8327704858718734</v>
      </c>
      <c r="Z166" s="125">
        <v>0.931689780767752</v>
      </c>
      <c r="AA166" s="125">
        <v>0.7</v>
      </c>
      <c r="AC166" s="125">
        <v>1.3001992569417287</v>
      </c>
      <c r="AD166" s="125">
        <v>153.52190000000007</v>
      </c>
      <c r="AE166" s="125">
        <v>14.170603536158479</v>
      </c>
      <c r="AF166" s="125">
        <v>1.5221226922332241</v>
      </c>
      <c r="AG166" s="125">
        <v>0.34302273719287202</v>
      </c>
      <c r="AH166" s="125">
        <v>140.48169886237903</v>
      </c>
      <c r="AI166" s="125">
        <v>0.2747002324254576</v>
      </c>
      <c r="AJ166" s="125">
        <v>70.490310080209881</v>
      </c>
      <c r="AK166" s="125">
        <v>1.5821519663069137</v>
      </c>
      <c r="AL166" s="125">
        <v>6.9962904921776467E-2</v>
      </c>
      <c r="AM166" s="125">
        <v>4.8960994794447021</v>
      </c>
      <c r="AN166" s="125">
        <f t="shared" si="2"/>
        <v>1.073803970379954</v>
      </c>
    </row>
    <row r="167" spans="1:40">
      <c r="A167" s="125" t="s">
        <v>44</v>
      </c>
      <c r="B167" s="125" t="s">
        <v>64</v>
      </c>
      <c r="C167" s="125">
        <v>5565</v>
      </c>
      <c r="D167" s="125">
        <v>21.809349999999998</v>
      </c>
      <c r="E167" s="125">
        <v>511.4</v>
      </c>
      <c r="F167" s="125">
        <v>333.15</v>
      </c>
      <c r="G167" s="125">
        <v>0.99</v>
      </c>
      <c r="H167" s="125">
        <v>1.34</v>
      </c>
      <c r="I167" s="125">
        <v>642.51419999999996</v>
      </c>
      <c r="J167" s="125">
        <v>363.5994</v>
      </c>
      <c r="K167" s="125">
        <v>0.99</v>
      </c>
      <c r="L167" s="125">
        <v>1.34</v>
      </c>
      <c r="M167" s="125">
        <v>29.990404739720322</v>
      </c>
      <c r="N167" s="125">
        <v>0.66214186795333252</v>
      </c>
      <c r="O167" s="125">
        <v>427.5363121763628</v>
      </c>
      <c r="P167" s="125">
        <v>14.25577</v>
      </c>
      <c r="Q167" s="125">
        <v>15.300983540092755</v>
      </c>
      <c r="R167" s="125">
        <v>3.5050678584911337</v>
      </c>
      <c r="S167" s="125">
        <v>2.6181390289338653</v>
      </c>
      <c r="T167" s="125">
        <v>3.0447929406847769</v>
      </c>
      <c r="U167" s="125">
        <v>2.2743329244589279</v>
      </c>
      <c r="X167" s="125">
        <v>4.0671880190464682</v>
      </c>
      <c r="Y167" s="125">
        <v>4.6820162414045345</v>
      </c>
      <c r="Z167" s="125">
        <v>0.931689780767752</v>
      </c>
      <c r="AA167" s="125">
        <v>0.7</v>
      </c>
      <c r="AC167" s="125">
        <v>1.2563828705514275</v>
      </c>
      <c r="AD167" s="125">
        <v>131.11419999999998</v>
      </c>
      <c r="AE167" s="125">
        <v>14.492272937594793</v>
      </c>
      <c r="AF167" s="125">
        <v>1.621265437487819</v>
      </c>
      <c r="AG167" s="125">
        <v>0.38319785466498402</v>
      </c>
      <c r="AH167" s="125">
        <v>121.97661484374491</v>
      </c>
      <c r="AI167" s="125">
        <v>0.23851508573278241</v>
      </c>
      <c r="AJ167" s="125">
        <v>61.204907632082296</v>
      </c>
      <c r="AK167" s="125">
        <v>1.6180664476262603</v>
      </c>
      <c r="AL167" s="125">
        <v>7.1551046576541474E-2</v>
      </c>
      <c r="AM167" s="125">
        <v>5.0072397978444769</v>
      </c>
      <c r="AN167" s="125">
        <f t="shared" si="2"/>
        <v>1.3584329543165425</v>
      </c>
    </row>
    <row r="168" spans="1:40">
      <c r="A168" s="125" t="s">
        <v>44</v>
      </c>
      <c r="B168" s="125" t="s">
        <v>64</v>
      </c>
      <c r="C168" s="125">
        <v>5565</v>
      </c>
      <c r="D168" s="125">
        <v>21.809349999999998</v>
      </c>
      <c r="E168" s="125">
        <v>511.4</v>
      </c>
      <c r="F168" s="125">
        <v>333.15</v>
      </c>
      <c r="G168" s="125">
        <v>0.99</v>
      </c>
      <c r="H168" s="125">
        <v>1.34</v>
      </c>
      <c r="I168" s="125">
        <v>630.44989999999996</v>
      </c>
      <c r="J168" s="125">
        <v>363.07900000000001</v>
      </c>
      <c r="K168" s="125">
        <v>0.99</v>
      </c>
      <c r="L168" s="125">
        <v>1.34</v>
      </c>
      <c r="M168" s="125">
        <v>27.479710289565428</v>
      </c>
      <c r="N168" s="125">
        <v>0.61725896409386249</v>
      </c>
      <c r="O168" s="125">
        <v>396.36102088332512</v>
      </c>
      <c r="P168" s="125">
        <v>14.423769999999999</v>
      </c>
      <c r="Q168" s="125">
        <v>15.48130107009889</v>
      </c>
      <c r="R168" s="125">
        <v>3.5463740383906766</v>
      </c>
      <c r="S168" s="125">
        <v>2.6802106100347038</v>
      </c>
      <c r="T168" s="125">
        <v>3.1351331888237501</v>
      </c>
      <c r="U168" s="125">
        <v>2.3694108815353547</v>
      </c>
      <c r="X168" s="125">
        <v>4.0671880190464682</v>
      </c>
      <c r="Y168" s="125">
        <v>4.6006881147564762</v>
      </c>
      <c r="Z168" s="125">
        <v>0.931689780767752</v>
      </c>
      <c r="AA168" s="125">
        <v>0.7</v>
      </c>
      <c r="AC168" s="125">
        <v>1.2327921392256551</v>
      </c>
      <c r="AD168" s="125">
        <v>119.04989999999998</v>
      </c>
      <c r="AE168" s="125">
        <v>14.663060054216055</v>
      </c>
      <c r="AF168" s="125">
        <v>1.6979699168883806</v>
      </c>
      <c r="AG168" s="125">
        <v>0.41106141513239958</v>
      </c>
      <c r="AH168" s="125">
        <v>111.76514845658848</v>
      </c>
      <c r="AI168" s="125">
        <v>0.21854741583220272</v>
      </c>
      <c r="AJ168" s="125">
        <v>56.081041407276395</v>
      </c>
      <c r="AK168" s="125">
        <v>1.6371348783880648</v>
      </c>
      <c r="AL168" s="125">
        <v>7.2394254332057942E-2</v>
      </c>
      <c r="AM168" s="125">
        <v>5.0662486262723956</v>
      </c>
      <c r="AN168" s="125">
        <f t="shared" si="2"/>
        <v>1.6259323390866354</v>
      </c>
    </row>
    <row r="169" spans="1:40">
      <c r="A169" s="125" t="s">
        <v>52</v>
      </c>
      <c r="B169" s="125" t="s">
        <v>87</v>
      </c>
      <c r="C169" s="125">
        <v>7375</v>
      </c>
      <c r="D169" s="125">
        <v>21.81</v>
      </c>
      <c r="E169" s="125">
        <v>521.29999999999995</v>
      </c>
      <c r="F169" s="125">
        <v>315.51</v>
      </c>
      <c r="G169" s="125">
        <v>0.99</v>
      </c>
      <c r="H169" s="125">
        <v>1.34</v>
      </c>
      <c r="I169" s="125">
        <v>1259.3</v>
      </c>
      <c r="J169" s="125">
        <v>390.44</v>
      </c>
      <c r="K169" s="125">
        <v>0.99</v>
      </c>
      <c r="L169" s="125">
        <v>1.34</v>
      </c>
      <c r="M169" s="125">
        <v>117.05237745448814</v>
      </c>
      <c r="N169" s="125">
        <v>1.050231190288851</v>
      </c>
      <c r="O169" s="125">
        <v>1427.0762113106632</v>
      </c>
      <c r="P169" s="125">
        <v>12.191774676815374</v>
      </c>
      <c r="Q169" s="125">
        <v>5.9735037462185305</v>
      </c>
      <c r="R169" s="125">
        <v>2.7557564748685355</v>
      </c>
      <c r="S169" s="125">
        <v>1.7420000000000002</v>
      </c>
      <c r="T169" s="125">
        <v>1.4116938850996903</v>
      </c>
      <c r="U169" s="125">
        <v>0.89237593026465689</v>
      </c>
      <c r="X169" s="125">
        <v>4.3778500611921682</v>
      </c>
      <c r="Y169" s="125">
        <v>8.5459665012871984</v>
      </c>
      <c r="Z169" s="125">
        <v>0.93171754859932399</v>
      </c>
      <c r="AA169" s="125">
        <v>0.93</v>
      </c>
      <c r="AC169" s="125">
        <v>2.4156915403798198</v>
      </c>
      <c r="AD169" s="125">
        <v>738</v>
      </c>
      <c r="AE169" s="125">
        <v>11.70848562171779</v>
      </c>
      <c r="AF169" s="125">
        <v>1.3185579309745978</v>
      </c>
      <c r="AG169" s="125">
        <v>0.24159570352676063</v>
      </c>
      <c r="AH169" s="125">
        <v>512.43775780181966</v>
      </c>
      <c r="AI169" s="125">
        <v>0.98299972722390128</v>
      </c>
      <c r="AJ169" s="125">
        <v>135.33631339402027</v>
      </c>
      <c r="AK169" s="125">
        <v>1.3198484761517135</v>
      </c>
      <c r="AL169" s="125">
        <v>5.7806970905651026E-2</v>
      </c>
      <c r="AM169" s="125">
        <v>2.9631790052349842</v>
      </c>
      <c r="AN169" s="125">
        <f t="shared" si="2"/>
        <v>0.28312172576005373</v>
      </c>
    </row>
    <row r="170" spans="1:40">
      <c r="A170" s="125" t="s">
        <v>52</v>
      </c>
      <c r="B170" s="125" t="s">
        <v>87</v>
      </c>
      <c r="C170" s="125">
        <v>7123</v>
      </c>
      <c r="D170" s="125">
        <v>21.81</v>
      </c>
      <c r="E170" s="125">
        <v>499.3</v>
      </c>
      <c r="F170" s="125">
        <v>311.52</v>
      </c>
      <c r="G170" s="125">
        <v>0.99</v>
      </c>
      <c r="H170" s="125">
        <v>1.34</v>
      </c>
      <c r="I170" s="125">
        <v>1145.3</v>
      </c>
      <c r="J170" s="125">
        <v>383.79999999999995</v>
      </c>
      <c r="K170" s="125">
        <v>0.99</v>
      </c>
      <c r="L170" s="125">
        <v>1.34</v>
      </c>
      <c r="M170" s="125">
        <v>108.53934248482167</v>
      </c>
      <c r="N170" s="125">
        <v>1.0095537539445887</v>
      </c>
      <c r="O170" s="125">
        <v>1209.2796559862813</v>
      </c>
      <c r="P170" s="125">
        <v>11.141394708148237</v>
      </c>
      <c r="Q170" s="125">
        <v>5.5403020009855624</v>
      </c>
      <c r="R170" s="125">
        <v>2.5950433494305933</v>
      </c>
      <c r="S170" s="125">
        <v>1.4984999999999999</v>
      </c>
      <c r="T170" s="125">
        <v>1.3938176463048055</v>
      </c>
      <c r="U170" s="125">
        <v>0.8048558200178203</v>
      </c>
      <c r="X170" s="125">
        <v>4.2468010762351138</v>
      </c>
      <c r="Y170" s="125">
        <v>7.9067967882712411</v>
      </c>
      <c r="Z170" s="125">
        <v>0.93171754859932399</v>
      </c>
      <c r="AA170" s="125">
        <v>0.9</v>
      </c>
      <c r="AC170" s="125">
        <v>2.2938113358702181</v>
      </c>
      <c r="AD170" s="125">
        <v>646</v>
      </c>
      <c r="AE170" s="125">
        <v>11.096042326124152</v>
      </c>
      <c r="AF170" s="125">
        <v>1.3357023286219851</v>
      </c>
      <c r="AG170" s="125">
        <v>0.25133019642806331</v>
      </c>
      <c r="AH170" s="125">
        <v>460.94499647839234</v>
      </c>
      <c r="AI170" s="125">
        <v>0.9231824483845229</v>
      </c>
      <c r="AJ170" s="125">
        <v>133.99918825286625</v>
      </c>
      <c r="AK170" s="125">
        <v>1.2241323457861899</v>
      </c>
      <c r="AL170" s="125">
        <v>5.4783224461100288E-2</v>
      </c>
      <c r="AM170" s="125">
        <v>2.8833814993673257</v>
      </c>
      <c r="AN170" s="125">
        <f t="shared" si="2"/>
        <v>0.2825334678147649</v>
      </c>
    </row>
    <row r="171" spans="1:40">
      <c r="A171" s="125" t="s">
        <v>52</v>
      </c>
      <c r="B171" s="125" t="s">
        <v>87</v>
      </c>
      <c r="C171" s="125">
        <v>6453</v>
      </c>
      <c r="D171" s="125">
        <v>21.81</v>
      </c>
      <c r="E171" s="125">
        <v>469.29999999999995</v>
      </c>
      <c r="F171" s="125">
        <v>314.02</v>
      </c>
      <c r="G171" s="125">
        <v>0.99</v>
      </c>
      <c r="H171" s="125">
        <v>1.34</v>
      </c>
      <c r="I171" s="125">
        <v>935.3</v>
      </c>
      <c r="J171" s="125">
        <v>372.4</v>
      </c>
      <c r="K171" s="125">
        <v>0.99</v>
      </c>
      <c r="L171" s="125">
        <v>1.34</v>
      </c>
      <c r="M171" s="125">
        <v>89.11201419024141</v>
      </c>
      <c r="N171" s="125">
        <v>1.0262013342600864</v>
      </c>
      <c r="O171" s="125">
        <v>799.49301212001251</v>
      </c>
      <c r="P171" s="125">
        <v>8.9717757968438381</v>
      </c>
      <c r="Q171" s="125">
        <v>4.6221838869538141</v>
      </c>
      <c r="R171" s="125">
        <v>2.2420721858229253</v>
      </c>
      <c r="S171" s="125">
        <v>1.0429999999999999</v>
      </c>
      <c r="T171" s="125">
        <v>1.3341405180472223</v>
      </c>
      <c r="U171" s="125">
        <v>0.6206350398180942</v>
      </c>
      <c r="X171" s="125">
        <v>3.9598572647042478</v>
      </c>
      <c r="Y171" s="125">
        <v>6.6546857043344767</v>
      </c>
      <c r="Z171" s="125">
        <v>0.93171754859932399</v>
      </c>
      <c r="AA171" s="125">
        <v>0.81</v>
      </c>
      <c r="AC171" s="125">
        <v>1.9929682505859792</v>
      </c>
      <c r="AD171" s="125">
        <v>466</v>
      </c>
      <c r="AE171" s="125">
        <v>9.5485492219377139</v>
      </c>
      <c r="AF171" s="125">
        <v>1.3284675731711366</v>
      </c>
      <c r="AG171" s="125">
        <v>0.24725298517227909</v>
      </c>
      <c r="AH171" s="125">
        <v>352.87085676365552</v>
      </c>
      <c r="AI171" s="125">
        <v>0.75190892129481246</v>
      </c>
      <c r="AJ171" s="125">
        <v>135.82078065880415</v>
      </c>
      <c r="AK171" s="125">
        <v>1.0212737145349429</v>
      </c>
      <c r="AL171" s="125">
        <v>4.7142963223176286E-2</v>
      </c>
      <c r="AM171" s="125">
        <v>2.7679903528678089</v>
      </c>
      <c r="AN171" s="125">
        <f t="shared" si="2"/>
        <v>0.28428829312000387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3579C-F6E3-452C-B040-E62B23C456B0}">
  <sheetPr codeName="Sheet5"/>
  <dimension ref="A1:W24"/>
  <sheetViews>
    <sheetView topLeftCell="A3" workbookViewId="0">
      <selection activeCell="A3" sqref="A3"/>
    </sheetView>
  </sheetViews>
  <sheetFormatPr defaultRowHeight="15"/>
  <cols>
    <col min="1" max="16384" width="9.140625" style="11"/>
  </cols>
  <sheetData>
    <row r="1" spans="1:23" ht="15.75" thickBot="1">
      <c r="A1" s="120" t="s">
        <v>22</v>
      </c>
      <c r="B1" s="120" t="s">
        <v>17</v>
      </c>
      <c r="C1" s="120" t="s">
        <v>1</v>
      </c>
      <c r="D1" s="120" t="s">
        <v>2</v>
      </c>
      <c r="E1" s="120" t="s">
        <v>3</v>
      </c>
      <c r="F1" s="120" t="s">
        <v>4</v>
      </c>
      <c r="G1" s="120" t="s">
        <v>5</v>
      </c>
      <c r="H1" s="120" t="s">
        <v>20</v>
      </c>
      <c r="I1" s="120" t="s">
        <v>6</v>
      </c>
      <c r="J1" s="120" t="s">
        <v>7</v>
      </c>
      <c r="K1" s="120" t="s">
        <v>8</v>
      </c>
      <c r="L1" s="120" t="s">
        <v>21</v>
      </c>
      <c r="M1" s="120" t="s">
        <v>18</v>
      </c>
      <c r="N1" s="120" t="s">
        <v>19</v>
      </c>
      <c r="O1" s="120" t="s">
        <v>23</v>
      </c>
      <c r="P1" s="120" t="s">
        <v>34</v>
      </c>
      <c r="Q1" s="120" t="s">
        <v>36</v>
      </c>
      <c r="R1" s="120" t="s">
        <v>37</v>
      </c>
      <c r="S1" s="120" t="s">
        <v>38</v>
      </c>
      <c r="T1" s="120" t="s">
        <v>97</v>
      </c>
      <c r="U1" s="120" t="s">
        <v>39</v>
      </c>
      <c r="V1" s="120" t="s">
        <v>40</v>
      </c>
      <c r="W1" s="120" t="s">
        <v>41</v>
      </c>
    </row>
    <row r="2" spans="1:23" ht="15.75" thickBot="1">
      <c r="A2" s="120"/>
      <c r="B2" s="120"/>
      <c r="C2" s="120" t="s">
        <v>54</v>
      </c>
      <c r="D2" s="120" t="s">
        <v>55</v>
      </c>
      <c r="E2" s="120" t="s">
        <v>56</v>
      </c>
      <c r="F2" s="120" t="s">
        <v>12</v>
      </c>
      <c r="G2" s="120" t="s">
        <v>10</v>
      </c>
      <c r="H2" s="120" t="s">
        <v>10</v>
      </c>
      <c r="I2" s="120" t="s">
        <v>56</v>
      </c>
      <c r="J2" s="120" t="s">
        <v>12</v>
      </c>
      <c r="K2" s="120" t="s">
        <v>10</v>
      </c>
      <c r="L2" s="120" t="s">
        <v>10</v>
      </c>
      <c r="M2" s="120" t="s">
        <v>57</v>
      </c>
      <c r="N2" s="120" t="s">
        <v>11</v>
      </c>
      <c r="O2" s="120" t="s">
        <v>58</v>
      </c>
      <c r="P2" s="120" t="s">
        <v>59</v>
      </c>
      <c r="Q2" s="120" t="s">
        <v>60</v>
      </c>
      <c r="R2" s="120" t="s">
        <v>60</v>
      </c>
      <c r="S2" s="120" t="s">
        <v>60</v>
      </c>
      <c r="T2" s="120" t="s">
        <v>61</v>
      </c>
      <c r="U2" s="120" t="s">
        <v>45</v>
      </c>
      <c r="V2" s="120" t="s">
        <v>10</v>
      </c>
      <c r="W2" s="120" t="s">
        <v>10</v>
      </c>
    </row>
    <row r="3" spans="1:23" ht="15.75" thickBot="1">
      <c r="A3" s="108" t="s">
        <v>42</v>
      </c>
      <c r="B3" s="108" t="s">
        <v>43</v>
      </c>
      <c r="C3" s="108">
        <v>9556</v>
      </c>
      <c r="D3" s="108">
        <v>23.06</v>
      </c>
      <c r="E3" s="108">
        <v>3868</v>
      </c>
      <c r="F3" s="108">
        <v>332.15</v>
      </c>
      <c r="G3" s="108">
        <v>0.90300000000000002</v>
      </c>
      <c r="H3" s="108">
        <v>1.2050000000000001</v>
      </c>
      <c r="I3" s="108"/>
      <c r="J3" s="108"/>
      <c r="K3" s="108"/>
      <c r="L3" s="108"/>
      <c r="M3" s="108"/>
      <c r="N3" s="108"/>
      <c r="O3" s="108"/>
      <c r="P3" s="108">
        <v>13</v>
      </c>
      <c r="Q3" s="108"/>
      <c r="R3" s="121"/>
      <c r="S3" s="108"/>
      <c r="T3" s="108">
        <v>25</v>
      </c>
      <c r="U3" s="108"/>
      <c r="V3" s="108"/>
      <c r="W3" s="108"/>
    </row>
    <row r="4" spans="1:23">
      <c r="A4" s="109" t="s">
        <v>98</v>
      </c>
      <c r="B4" s="109" t="s">
        <v>47</v>
      </c>
      <c r="C4" s="109"/>
      <c r="D4" s="109"/>
      <c r="E4" s="109"/>
      <c r="F4" s="109"/>
      <c r="G4" s="109"/>
      <c r="H4" s="109"/>
      <c r="I4" s="109"/>
      <c r="J4" s="109"/>
      <c r="K4" s="109"/>
      <c r="L4" s="109"/>
      <c r="M4" s="109"/>
      <c r="N4" s="109"/>
      <c r="O4" s="109"/>
      <c r="P4" s="109"/>
      <c r="Q4" s="109"/>
      <c r="R4" s="109"/>
      <c r="S4" s="109"/>
      <c r="T4" s="109"/>
      <c r="U4" s="109"/>
      <c r="V4" s="109"/>
      <c r="W4" s="109"/>
    </row>
    <row r="5" spans="1:23">
      <c r="A5" s="123" t="s">
        <v>44</v>
      </c>
      <c r="B5" s="124" t="s">
        <v>100</v>
      </c>
      <c r="C5" s="123">
        <v>9556</v>
      </c>
      <c r="D5" s="123">
        <v>23.06</v>
      </c>
      <c r="E5" s="123">
        <v>3868</v>
      </c>
      <c r="F5" s="123">
        <v>332.15</v>
      </c>
      <c r="G5" s="123">
        <v>0.90300000000000002</v>
      </c>
      <c r="H5" s="123">
        <v>1.2050000000000001</v>
      </c>
      <c r="I5" s="123"/>
      <c r="J5" s="123"/>
      <c r="K5" s="123">
        <v>1.903</v>
      </c>
      <c r="L5" s="123">
        <v>1.2050000000000001</v>
      </c>
      <c r="M5" s="123">
        <v>45.588220909939373</v>
      </c>
      <c r="N5" s="123">
        <v>0.59870000000000001</v>
      </c>
      <c r="O5" s="123"/>
      <c r="P5" s="123">
        <v>4.4590909293748568</v>
      </c>
      <c r="Q5" s="123">
        <v>448.8</v>
      </c>
      <c r="R5" s="123"/>
      <c r="S5" s="123"/>
      <c r="T5" s="123"/>
      <c r="U5" s="123"/>
      <c r="V5" s="123"/>
      <c r="W5" s="124"/>
    </row>
    <row r="6" spans="1:23">
      <c r="A6" s="109" t="s">
        <v>44</v>
      </c>
      <c r="B6" s="110" t="s">
        <v>100</v>
      </c>
      <c r="C6" s="109">
        <v>9556</v>
      </c>
      <c r="D6" s="109">
        <v>23.06</v>
      </c>
      <c r="E6" s="109">
        <v>3868</v>
      </c>
      <c r="F6" s="109">
        <v>332.15</v>
      </c>
      <c r="G6" s="109">
        <v>0.90300000000000002</v>
      </c>
      <c r="H6" s="109">
        <v>1.2050000000000001</v>
      </c>
      <c r="I6" s="109"/>
      <c r="J6" s="109"/>
      <c r="K6" s="109">
        <v>0.90300000000000002</v>
      </c>
      <c r="L6" s="109">
        <v>1.2050000000000001</v>
      </c>
      <c r="M6" s="122">
        <v>43.770700685369974</v>
      </c>
      <c r="N6" s="109">
        <v>0.63700000000000001</v>
      </c>
      <c r="O6" s="109"/>
      <c r="P6" s="109">
        <v>5.5907541576631719</v>
      </c>
      <c r="Q6" s="109">
        <v>562.70000000000005</v>
      </c>
      <c r="R6" s="122"/>
      <c r="S6" s="109"/>
      <c r="T6" s="122"/>
      <c r="U6" s="109"/>
      <c r="V6" s="109"/>
      <c r="W6" s="110"/>
    </row>
    <row r="7" spans="1:23">
      <c r="A7" s="109" t="s">
        <v>44</v>
      </c>
      <c r="B7" s="110" t="s">
        <v>100</v>
      </c>
      <c r="C7" s="109">
        <v>9556</v>
      </c>
      <c r="D7" s="109">
        <v>23.06</v>
      </c>
      <c r="E7" s="109">
        <v>3868</v>
      </c>
      <c r="F7" s="109">
        <v>332.15</v>
      </c>
      <c r="G7" s="109">
        <v>0.90300000000000002</v>
      </c>
      <c r="H7" s="109">
        <v>1.2050000000000001</v>
      </c>
      <c r="I7" s="109"/>
      <c r="J7" s="109"/>
      <c r="K7" s="109">
        <v>0.90300000000000002</v>
      </c>
      <c r="L7" s="109">
        <v>1.2050000000000001</v>
      </c>
      <c r="M7" s="122">
        <v>38.679597381790906</v>
      </c>
      <c r="N7" s="109">
        <v>0.65439999999999998</v>
      </c>
      <c r="O7" s="109"/>
      <c r="P7" s="109">
        <v>6.6416410729928925</v>
      </c>
      <c r="Q7" s="109">
        <v>668.47</v>
      </c>
      <c r="R7" s="122"/>
      <c r="S7" s="109"/>
      <c r="T7" s="122"/>
      <c r="U7" s="109"/>
      <c r="V7" s="109"/>
      <c r="W7" s="110"/>
    </row>
    <row r="8" spans="1:23">
      <c r="A8" s="109" t="s">
        <v>44</v>
      </c>
      <c r="B8" s="110" t="s">
        <v>100</v>
      </c>
      <c r="C8" s="109">
        <v>9556</v>
      </c>
      <c r="D8" s="109">
        <v>23.06</v>
      </c>
      <c r="E8" s="109">
        <v>3868</v>
      </c>
      <c r="F8" s="109">
        <v>332.15</v>
      </c>
      <c r="G8" s="109">
        <v>0.90300000000000002</v>
      </c>
      <c r="H8" s="109">
        <v>1.2050000000000001</v>
      </c>
      <c r="I8" s="109"/>
      <c r="J8" s="109"/>
      <c r="K8" s="109">
        <v>0.90300000000000002</v>
      </c>
      <c r="L8" s="109">
        <v>1.2050000000000001</v>
      </c>
      <c r="M8" s="122">
        <v>29.190163685950729</v>
      </c>
      <c r="N8" s="109">
        <v>0.61299999999999999</v>
      </c>
      <c r="O8" s="109"/>
      <c r="P8" s="109">
        <v>7.8272545324454361</v>
      </c>
      <c r="Q8" s="109">
        <v>787.8</v>
      </c>
      <c r="R8" s="122"/>
      <c r="S8" s="109"/>
      <c r="T8" s="122"/>
      <c r="U8" s="109"/>
      <c r="V8" s="109"/>
      <c r="W8" s="110"/>
    </row>
    <row r="9" spans="1:23">
      <c r="A9" s="109" t="s">
        <v>44</v>
      </c>
      <c r="B9" s="110" t="s">
        <v>100</v>
      </c>
      <c r="C9" s="109">
        <v>9556</v>
      </c>
      <c r="D9" s="109">
        <v>23.06</v>
      </c>
      <c r="E9" s="109">
        <v>3868</v>
      </c>
      <c r="F9" s="109">
        <v>332.15</v>
      </c>
      <c r="G9" s="109">
        <v>0.90300000000000002</v>
      </c>
      <c r="H9" s="109">
        <v>1.2050000000000001</v>
      </c>
      <c r="I9" s="109"/>
      <c r="J9" s="109"/>
      <c r="K9" s="109">
        <v>0.90300000000000002</v>
      </c>
      <c r="L9" s="109">
        <v>1.2050000000000001</v>
      </c>
      <c r="M9" s="122">
        <v>21.831339275961824</v>
      </c>
      <c r="N9" s="109">
        <v>0.54120000000000001</v>
      </c>
      <c r="O9" s="109"/>
      <c r="P9" s="109">
        <v>8.5008872530595525</v>
      </c>
      <c r="Q9" s="109">
        <v>855.6</v>
      </c>
      <c r="R9" s="122"/>
      <c r="S9" s="109"/>
      <c r="T9" s="122"/>
      <c r="U9" s="109"/>
      <c r="V9" s="109"/>
      <c r="W9" s="110"/>
    </row>
    <row r="10" spans="1:23">
      <c r="A10" s="123" t="s">
        <v>44</v>
      </c>
      <c r="B10" s="124" t="s">
        <v>100</v>
      </c>
      <c r="C10" s="123">
        <v>8600.4</v>
      </c>
      <c r="D10" s="123">
        <v>23.06</v>
      </c>
      <c r="E10" s="123">
        <v>3868</v>
      </c>
      <c r="F10" s="123">
        <v>332.15</v>
      </c>
      <c r="G10" s="123">
        <v>0.90300000000000002</v>
      </c>
      <c r="H10" s="123">
        <v>1.2050000000000001</v>
      </c>
      <c r="I10" s="123"/>
      <c r="J10" s="123"/>
      <c r="K10" s="123">
        <v>0.90300000000000002</v>
      </c>
      <c r="L10" s="123">
        <v>1.2050000000000001</v>
      </c>
      <c r="M10" s="123">
        <v>59.58823252099355</v>
      </c>
      <c r="N10" s="123">
        <v>0.59699999999999998</v>
      </c>
      <c r="O10" s="123"/>
      <c r="P10" s="123">
        <v>5.2141954539570508</v>
      </c>
      <c r="Q10" s="123">
        <v>524.79999999999995</v>
      </c>
      <c r="R10" s="123"/>
      <c r="S10" s="123"/>
      <c r="T10" s="123"/>
      <c r="U10" s="123"/>
      <c r="V10" s="123"/>
      <c r="W10" s="124"/>
    </row>
    <row r="11" spans="1:23">
      <c r="A11" s="109" t="s">
        <v>44</v>
      </c>
      <c r="B11" s="110" t="s">
        <v>100</v>
      </c>
      <c r="C11" s="109">
        <v>8600.4</v>
      </c>
      <c r="D11" s="109">
        <v>23.06</v>
      </c>
      <c r="E11" s="109">
        <v>3868</v>
      </c>
      <c r="F11" s="109">
        <v>332.15</v>
      </c>
      <c r="G11" s="109">
        <v>0.90300000000000002</v>
      </c>
      <c r="H11" s="109">
        <v>1.2050000000000001</v>
      </c>
      <c r="I11" s="109"/>
      <c r="J11" s="109"/>
      <c r="K11" s="109">
        <v>0.90300000000000002</v>
      </c>
      <c r="L11" s="109">
        <v>1.2050000000000001</v>
      </c>
      <c r="M11" s="122">
        <v>58.617421778229662</v>
      </c>
      <c r="N11" s="109">
        <v>0.63300000000000001</v>
      </c>
      <c r="O11" s="109"/>
      <c r="P11" s="109">
        <v>6.2912129600716558</v>
      </c>
      <c r="Q11" s="109">
        <v>633.20000000000005</v>
      </c>
      <c r="R11" s="122"/>
      <c r="S11" s="109"/>
      <c r="T11" s="122"/>
      <c r="U11" s="109"/>
      <c r="V11" s="109"/>
      <c r="W11" s="110"/>
    </row>
    <row r="12" spans="1:23">
      <c r="A12" s="109" t="s">
        <v>44</v>
      </c>
      <c r="B12" s="110" t="s">
        <v>100</v>
      </c>
      <c r="C12" s="109">
        <v>8600.4</v>
      </c>
      <c r="D12" s="109">
        <v>23.06</v>
      </c>
      <c r="E12" s="109">
        <v>3868</v>
      </c>
      <c r="F12" s="109">
        <v>332.15</v>
      </c>
      <c r="G12" s="109">
        <v>0.90300000000000002</v>
      </c>
      <c r="H12" s="109">
        <v>1.2050000000000001</v>
      </c>
      <c r="I12" s="109"/>
      <c r="J12" s="109"/>
      <c r="K12" s="109">
        <v>0.90300000000000002</v>
      </c>
      <c r="L12" s="109">
        <v>1.2050000000000001</v>
      </c>
      <c r="M12" s="109">
        <v>51.46202539454773</v>
      </c>
      <c r="N12" s="109">
        <v>0.65760000000000007</v>
      </c>
      <c r="O12" s="109"/>
      <c r="P12" s="109">
        <v>7.7994348920660919</v>
      </c>
      <c r="Q12" s="109">
        <v>785</v>
      </c>
      <c r="R12" s="109"/>
      <c r="S12" s="109"/>
      <c r="T12" s="109"/>
      <c r="U12" s="109"/>
      <c r="V12" s="109"/>
      <c r="W12" s="110"/>
    </row>
    <row r="13" spans="1:23">
      <c r="A13" s="109" t="s">
        <v>44</v>
      </c>
      <c r="B13" s="110" t="s">
        <v>100</v>
      </c>
      <c r="C13" s="109">
        <v>8600.4</v>
      </c>
      <c r="D13" s="109">
        <v>23.06</v>
      </c>
      <c r="E13" s="109">
        <v>3868</v>
      </c>
      <c r="F13" s="109">
        <v>332.15</v>
      </c>
      <c r="G13" s="109">
        <v>0.90300000000000002</v>
      </c>
      <c r="H13" s="109">
        <v>1.2050000000000001</v>
      </c>
      <c r="I13" s="109"/>
      <c r="J13" s="109"/>
      <c r="K13" s="109">
        <v>0.90300000000000002</v>
      </c>
      <c r="L13" s="109">
        <v>1.2050000000000001</v>
      </c>
      <c r="M13" s="109">
        <v>42.695323405639648</v>
      </c>
      <c r="N13" s="109">
        <v>0.63200000000000001</v>
      </c>
      <c r="O13" s="109"/>
      <c r="P13" s="109">
        <v>8.8784395153506495</v>
      </c>
      <c r="Q13" s="109">
        <v>893.6</v>
      </c>
      <c r="R13" s="109"/>
      <c r="S13" s="109"/>
      <c r="T13" s="109"/>
      <c r="U13" s="109"/>
      <c r="V13" s="109"/>
      <c r="W13" s="110"/>
    </row>
    <row r="14" spans="1:23">
      <c r="A14" s="109" t="s">
        <v>44</v>
      </c>
      <c r="B14" s="110" t="s">
        <v>100</v>
      </c>
      <c r="C14" s="109">
        <v>8600.4</v>
      </c>
      <c r="D14" s="109">
        <v>23.06</v>
      </c>
      <c r="E14" s="109">
        <v>3868</v>
      </c>
      <c r="F14" s="109">
        <v>332.15</v>
      </c>
      <c r="G14" s="109">
        <v>0.90300000000000002</v>
      </c>
      <c r="H14" s="109">
        <v>1.2050000000000001</v>
      </c>
      <c r="I14" s="109"/>
      <c r="J14" s="109"/>
      <c r="K14" s="109">
        <v>0.90300000000000002</v>
      </c>
      <c r="L14" s="109">
        <v>1.2050000000000001</v>
      </c>
      <c r="M14" s="109">
        <v>33.150324691866267</v>
      </c>
      <c r="N14" s="109">
        <v>0.5837</v>
      </c>
      <c r="O14" s="109"/>
      <c r="P14" s="109">
        <v>9.7398548085253367</v>
      </c>
      <c r="Q14" s="109">
        <v>980.3</v>
      </c>
      <c r="R14" s="109"/>
      <c r="S14" s="109"/>
      <c r="T14" s="109"/>
      <c r="U14" s="109"/>
      <c r="V14" s="109"/>
      <c r="W14" s="110"/>
    </row>
    <row r="15" spans="1:23">
      <c r="A15" s="123" t="s">
        <v>44</v>
      </c>
      <c r="B15" s="124" t="s">
        <v>100</v>
      </c>
      <c r="C15" s="123">
        <v>7644.8</v>
      </c>
      <c r="D15" s="123">
        <v>23.06</v>
      </c>
      <c r="E15" s="123">
        <v>3868</v>
      </c>
      <c r="F15" s="123">
        <v>332.15</v>
      </c>
      <c r="G15" s="123">
        <v>0.90300000000000002</v>
      </c>
      <c r="H15" s="123">
        <v>1.2050000000000001</v>
      </c>
      <c r="I15" s="123"/>
      <c r="J15" s="123"/>
      <c r="K15" s="123">
        <v>0.90300000000000002</v>
      </c>
      <c r="L15" s="123">
        <v>1.2050000000000001</v>
      </c>
      <c r="M15" s="123">
        <v>75.678983136621667</v>
      </c>
      <c r="N15" s="123">
        <v>0.59299999999999997</v>
      </c>
      <c r="O15" s="123"/>
      <c r="P15" s="123">
        <v>6.1302564693054507</v>
      </c>
      <c r="Q15" s="123">
        <v>617</v>
      </c>
      <c r="R15" s="123"/>
      <c r="S15" s="123"/>
      <c r="T15" s="123"/>
      <c r="U15" s="123"/>
      <c r="V15" s="123"/>
      <c r="W15" s="124"/>
    </row>
    <row r="16" spans="1:23">
      <c r="A16" s="109" t="s">
        <v>44</v>
      </c>
      <c r="B16" s="110" t="s">
        <v>100</v>
      </c>
      <c r="C16" s="109">
        <v>7644.8</v>
      </c>
      <c r="D16" s="109">
        <v>23.06</v>
      </c>
      <c r="E16" s="109">
        <v>3868</v>
      </c>
      <c r="F16" s="109">
        <v>332.15</v>
      </c>
      <c r="G16" s="109">
        <v>0.90300000000000002</v>
      </c>
      <c r="H16" s="109">
        <v>1.2050000000000001</v>
      </c>
      <c r="I16" s="109"/>
      <c r="J16" s="109"/>
      <c r="K16" s="109">
        <v>0.90300000000000002</v>
      </c>
      <c r="L16" s="109">
        <v>1.2050000000000001</v>
      </c>
      <c r="M16" s="109">
        <v>75.25335267623403</v>
      </c>
      <c r="N16" s="109">
        <v>0.61699999999999999</v>
      </c>
      <c r="O16" s="109"/>
      <c r="P16" s="109">
        <v>7.0463174846538505</v>
      </c>
      <c r="Q16" s="109">
        <v>709.2</v>
      </c>
      <c r="R16" s="109"/>
      <c r="S16" s="109"/>
      <c r="T16" s="109"/>
      <c r="U16" s="109"/>
      <c r="V16" s="109"/>
      <c r="W16" s="110"/>
    </row>
    <row r="17" spans="1:23">
      <c r="A17" s="109" t="s">
        <v>44</v>
      </c>
      <c r="B17" s="110" t="s">
        <v>100</v>
      </c>
      <c r="C17" s="109">
        <v>7644.8</v>
      </c>
      <c r="D17" s="109">
        <v>23.06</v>
      </c>
      <c r="E17" s="109">
        <v>3868</v>
      </c>
      <c r="F17" s="109">
        <v>332.15</v>
      </c>
      <c r="G17" s="109">
        <v>0.90300000000000002</v>
      </c>
      <c r="H17" s="109">
        <v>1.2050000000000001</v>
      </c>
      <c r="I17" s="109"/>
      <c r="J17" s="109"/>
      <c r="K17" s="109">
        <v>0.90300000000000002</v>
      </c>
      <c r="L17" s="109">
        <v>1.2050000000000001</v>
      </c>
      <c r="M17" s="109">
        <v>68.966150216633352</v>
      </c>
      <c r="N17" s="109">
        <v>0.67230000000000001</v>
      </c>
      <c r="O17" s="109"/>
      <c r="P17" s="109">
        <v>8.7163901101409706</v>
      </c>
      <c r="Q17" s="109">
        <v>877.29</v>
      </c>
      <c r="R17" s="109"/>
      <c r="S17" s="109"/>
      <c r="T17" s="109"/>
      <c r="U17" s="109"/>
      <c r="V17" s="109"/>
      <c r="W17" s="110"/>
    </row>
    <row r="18" spans="1:23">
      <c r="A18" s="109" t="s">
        <v>44</v>
      </c>
      <c r="B18" s="110" t="s">
        <v>100</v>
      </c>
      <c r="C18" s="109">
        <v>7644.8</v>
      </c>
      <c r="D18" s="109">
        <v>23.06</v>
      </c>
      <c r="E18" s="109">
        <v>3868</v>
      </c>
      <c r="F18" s="109">
        <v>332.15</v>
      </c>
      <c r="G18" s="109">
        <v>0.90300000000000002</v>
      </c>
      <c r="H18" s="109">
        <v>1.2050000000000001</v>
      </c>
      <c r="I18" s="109"/>
      <c r="J18" s="109"/>
      <c r="K18" s="109">
        <v>0.90300000000000002</v>
      </c>
      <c r="L18" s="109">
        <v>1.2050000000000001</v>
      </c>
      <c r="M18" s="109">
        <v>58.163140226519374</v>
      </c>
      <c r="N18" s="109">
        <v>0.64900000000000002</v>
      </c>
      <c r="O18" s="109"/>
      <c r="P18" s="109">
        <v>10.036630757857841</v>
      </c>
      <c r="Q18" s="109">
        <v>1010.17</v>
      </c>
      <c r="R18" s="109"/>
      <c r="S18" s="109"/>
      <c r="T18" s="109"/>
      <c r="U18" s="109"/>
      <c r="V18" s="109"/>
      <c r="W18" s="110"/>
    </row>
    <row r="19" spans="1:23">
      <c r="A19" s="109" t="s">
        <v>44</v>
      </c>
      <c r="B19" s="110" t="s">
        <v>100</v>
      </c>
      <c r="C19" s="109">
        <v>7644.8</v>
      </c>
      <c r="D19" s="109">
        <v>23.06</v>
      </c>
      <c r="E19" s="109">
        <v>3868</v>
      </c>
      <c r="F19" s="109">
        <v>332.15</v>
      </c>
      <c r="G19" s="109">
        <v>0.90300000000000002</v>
      </c>
      <c r="H19" s="109">
        <v>1.2050000000000001</v>
      </c>
      <c r="I19" s="109"/>
      <c r="J19" s="109"/>
      <c r="K19" s="109">
        <v>0.90300000000000002</v>
      </c>
      <c r="L19" s="109">
        <v>1.2050000000000001</v>
      </c>
      <c r="M19" s="109">
        <v>47.417664902194296</v>
      </c>
      <c r="N19" s="109">
        <v>0.61549999999999994</v>
      </c>
      <c r="O19" s="109"/>
      <c r="P19" s="109">
        <v>11.00862912154042</v>
      </c>
      <c r="Q19" s="109">
        <v>1108</v>
      </c>
      <c r="R19" s="109"/>
      <c r="S19" s="109"/>
      <c r="T19" s="109"/>
      <c r="U19" s="109"/>
      <c r="V19" s="109"/>
      <c r="W19" s="110"/>
    </row>
    <row r="20" spans="1:23">
      <c r="A20" s="123" t="s">
        <v>44</v>
      </c>
      <c r="B20" s="124" t="s">
        <v>100</v>
      </c>
      <c r="C20" s="123">
        <v>6689.2</v>
      </c>
      <c r="D20" s="123">
        <v>23.06</v>
      </c>
      <c r="E20" s="123">
        <v>3868</v>
      </c>
      <c r="F20" s="123">
        <v>332.15</v>
      </c>
      <c r="G20" s="123">
        <v>0.90300000000000002</v>
      </c>
      <c r="H20" s="123">
        <v>1.2050000000000001</v>
      </c>
      <c r="I20" s="123"/>
      <c r="J20" s="123"/>
      <c r="K20" s="123">
        <v>0.90300000000000002</v>
      </c>
      <c r="L20" s="123">
        <v>1.2050000000000001</v>
      </c>
      <c r="M20" s="123">
        <v>93.451996093601537</v>
      </c>
      <c r="N20" s="123">
        <v>0.59499999999999997</v>
      </c>
      <c r="O20" s="123"/>
      <c r="P20" s="123">
        <v>7.3692240247712375</v>
      </c>
      <c r="Q20" s="123">
        <v>741.7</v>
      </c>
      <c r="R20" s="123"/>
      <c r="S20" s="123"/>
      <c r="T20" s="123"/>
      <c r="U20" s="123"/>
      <c r="V20" s="123"/>
      <c r="W20" s="123"/>
    </row>
    <row r="21" spans="1:23">
      <c r="A21" s="109" t="s">
        <v>44</v>
      </c>
      <c r="B21" s="110" t="s">
        <v>100</v>
      </c>
      <c r="C21" s="109">
        <v>6689.2</v>
      </c>
      <c r="D21" s="109">
        <v>23.06</v>
      </c>
      <c r="E21" s="109">
        <v>3868</v>
      </c>
      <c r="F21" s="109">
        <v>332.15</v>
      </c>
      <c r="G21" s="109">
        <v>0.90300000000000002</v>
      </c>
      <c r="H21" s="109">
        <v>1.2050000000000001</v>
      </c>
      <c r="I21" s="109"/>
      <c r="J21" s="109"/>
      <c r="K21" s="109">
        <v>0.90300000000000002</v>
      </c>
      <c r="L21" s="109">
        <v>1.2050000000000001</v>
      </c>
      <c r="M21" s="109">
        <v>92.855840201705504</v>
      </c>
      <c r="N21" s="109">
        <v>0.61299999999999999</v>
      </c>
      <c r="O21" s="109"/>
      <c r="P21" s="109">
        <v>8.312111121914004</v>
      </c>
      <c r="Q21" s="109">
        <v>836.6</v>
      </c>
      <c r="R21" s="109"/>
      <c r="S21" s="109"/>
      <c r="T21" s="109"/>
      <c r="U21" s="109"/>
      <c r="V21" s="109"/>
      <c r="W21" s="110"/>
    </row>
    <row r="22" spans="1:23">
      <c r="A22" s="109" t="s">
        <v>44</v>
      </c>
      <c r="B22" s="110" t="s">
        <v>100</v>
      </c>
      <c r="C22" s="109">
        <v>6689.2</v>
      </c>
      <c r="D22" s="109">
        <v>23.06</v>
      </c>
      <c r="E22" s="109">
        <v>3868</v>
      </c>
      <c r="F22" s="109">
        <v>332.15</v>
      </c>
      <c r="G22" s="109">
        <v>0.90300000000000002</v>
      </c>
      <c r="H22" s="109">
        <v>1.2050000000000001</v>
      </c>
      <c r="I22" s="109"/>
      <c r="J22" s="109"/>
      <c r="K22" s="109">
        <v>0.90300000000000002</v>
      </c>
      <c r="L22" s="109">
        <v>1.2050000000000001</v>
      </c>
      <c r="M22" s="109">
        <v>86.954228353004268</v>
      </c>
      <c r="N22" s="109">
        <v>0.64700000000000002</v>
      </c>
      <c r="O22" s="109"/>
      <c r="P22" s="109">
        <v>9.8759723346671269</v>
      </c>
      <c r="Q22" s="109">
        <v>994</v>
      </c>
      <c r="R22" s="109"/>
      <c r="S22" s="109"/>
      <c r="T22" s="109"/>
      <c r="U22" s="109"/>
      <c r="V22" s="109"/>
      <c r="W22" s="110"/>
    </row>
    <row r="23" spans="1:23">
      <c r="A23" s="109" t="s">
        <v>44</v>
      </c>
      <c r="B23" s="110" t="s">
        <v>100</v>
      </c>
      <c r="C23" s="109">
        <v>6689.2</v>
      </c>
      <c r="D23" s="109">
        <v>23.06</v>
      </c>
      <c r="E23" s="109">
        <v>3868</v>
      </c>
      <c r="F23" s="109">
        <v>332.15</v>
      </c>
      <c r="G23" s="109">
        <v>0.90300000000000002</v>
      </c>
      <c r="H23" s="109">
        <v>1.2050000000000001</v>
      </c>
      <c r="I23" s="109"/>
      <c r="J23" s="109"/>
      <c r="K23" s="109">
        <v>0.90300000000000002</v>
      </c>
      <c r="L23" s="109">
        <v>1.2050000000000001</v>
      </c>
      <c r="M23" s="109">
        <v>74.803376031035413</v>
      </c>
      <c r="N23" s="109">
        <v>0.64700000000000002</v>
      </c>
      <c r="O23" s="109"/>
      <c r="P23" s="109">
        <v>11.384194266661565</v>
      </c>
      <c r="Q23" s="109">
        <v>1145.8</v>
      </c>
      <c r="R23" s="109"/>
      <c r="S23" s="109"/>
      <c r="T23" s="109"/>
      <c r="U23" s="109"/>
      <c r="V23" s="109"/>
      <c r="W23" s="110"/>
    </row>
    <row r="24" spans="1:23">
      <c r="A24" s="109" t="s">
        <v>44</v>
      </c>
      <c r="B24" s="110" t="s">
        <v>100</v>
      </c>
      <c r="C24" s="109">
        <v>6689.2</v>
      </c>
      <c r="D24" s="109">
        <v>23.06</v>
      </c>
      <c r="E24" s="109">
        <v>3868</v>
      </c>
      <c r="F24" s="109">
        <v>332.15</v>
      </c>
      <c r="G24" s="109">
        <v>0.90300000000000002</v>
      </c>
      <c r="H24" s="109">
        <v>1.2050000000000001</v>
      </c>
      <c r="I24" s="109"/>
      <c r="J24" s="109"/>
      <c r="K24" s="109">
        <v>0.90300000000000002</v>
      </c>
      <c r="L24" s="109">
        <v>1.2050000000000001</v>
      </c>
      <c r="M24" s="109">
        <v>65.058262380867134</v>
      </c>
      <c r="N24" s="109">
        <v>0.63570000000000004</v>
      </c>
      <c r="O24" s="109"/>
      <c r="P24" s="109">
        <v>12.218783478041885</v>
      </c>
      <c r="Q24" s="109">
        <v>1229.8</v>
      </c>
      <c r="R24" s="109"/>
      <c r="S24" s="109"/>
      <c r="T24" s="109"/>
      <c r="U24" s="109"/>
      <c r="V24" s="109"/>
      <c r="W24" s="110"/>
    </row>
  </sheetData>
  <sortState xmlns:xlrd2="http://schemas.microsoft.com/office/spreadsheetml/2017/richdata2" ref="A3:W24">
    <sortCondition ref="A3:A24"/>
    <sortCondition ref="B3:B24"/>
    <sortCondition descending="1" ref="C3:C24"/>
  </sortState>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BA109-FBA9-4A4D-8EAE-AA704664EBFC}">
  <sheetPr codeName="Sheet6"/>
  <dimension ref="A1:T1246"/>
  <sheetViews>
    <sheetView workbookViewId="0">
      <pane xSplit="2" ySplit="3" topLeftCell="C4" activePane="bottomRight" state="frozen"/>
      <selection pane="topRight" activeCell="C1" sqref="C1"/>
      <selection pane="bottomLeft" activeCell="A4" sqref="A4"/>
      <selection pane="bottomRight" activeCell="R5" sqref="R5"/>
    </sheetView>
  </sheetViews>
  <sheetFormatPr defaultRowHeight="15"/>
  <cols>
    <col min="1" max="1" width="9.140625" style="112"/>
    <col min="2" max="2" width="18.28515625" style="112" customWidth="1"/>
    <col min="3" max="3" width="11.5703125" style="112" bestFit="1" customWidth="1"/>
    <col min="4" max="4" width="9.140625" style="112"/>
    <col min="5" max="5" width="10.5703125" style="112" bestFit="1" customWidth="1"/>
    <col min="6" max="8" width="9.140625" style="112"/>
    <col min="9" max="9" width="11.5703125" style="112" bestFit="1" customWidth="1"/>
    <col min="10" max="14" width="9.140625" style="112"/>
    <col min="15" max="15" width="11.5703125" style="112" bestFit="1" customWidth="1"/>
    <col min="16" max="16" width="9.140625" style="112"/>
    <col min="17" max="17" width="10.5703125" style="112" bestFit="1" customWidth="1"/>
    <col min="18" max="19" width="9.140625" style="112"/>
    <col min="20" max="20" width="10.5703125" style="112" bestFit="1" customWidth="1"/>
    <col min="21" max="16384" width="9.140625" style="112"/>
  </cols>
  <sheetData>
    <row r="1" spans="1:20" ht="15.75" thickBot="1">
      <c r="A1" s="113" t="s">
        <v>22</v>
      </c>
      <c r="B1" s="113" t="s">
        <v>17</v>
      </c>
      <c r="C1" s="113" t="s">
        <v>1</v>
      </c>
      <c r="D1" s="114" t="s">
        <v>2</v>
      </c>
      <c r="E1" s="114" t="s">
        <v>3</v>
      </c>
      <c r="F1" s="114" t="s">
        <v>4</v>
      </c>
      <c r="G1" s="114" t="s">
        <v>5</v>
      </c>
      <c r="H1" s="114" t="s">
        <v>20</v>
      </c>
      <c r="I1" s="114" t="s">
        <v>6</v>
      </c>
      <c r="J1" s="114" t="s">
        <v>7</v>
      </c>
      <c r="K1" s="114" t="s">
        <v>8</v>
      </c>
      <c r="L1" s="114" t="s">
        <v>21</v>
      </c>
      <c r="M1" s="114" t="s">
        <v>18</v>
      </c>
      <c r="N1" s="114" t="s">
        <v>19</v>
      </c>
      <c r="O1" s="114" t="s">
        <v>23</v>
      </c>
      <c r="P1" s="114" t="s">
        <v>34</v>
      </c>
      <c r="Q1" s="114" t="s">
        <v>36</v>
      </c>
      <c r="R1" s="114" t="s">
        <v>37</v>
      </c>
      <c r="S1" s="114" t="s">
        <v>38</v>
      </c>
      <c r="T1" s="114" t="s">
        <v>97</v>
      </c>
    </row>
    <row r="2" spans="1:20">
      <c r="A2" s="110" t="s">
        <v>10</v>
      </c>
      <c r="B2" s="110" t="s">
        <v>10</v>
      </c>
      <c r="C2" s="110" t="s">
        <v>54</v>
      </c>
      <c r="D2" s="110" t="s">
        <v>86</v>
      </c>
      <c r="E2" s="110" t="s">
        <v>102</v>
      </c>
      <c r="F2" s="110" t="s">
        <v>12</v>
      </c>
      <c r="G2" s="110" t="s">
        <v>10</v>
      </c>
      <c r="H2" s="110" t="s">
        <v>10</v>
      </c>
      <c r="I2" s="110" t="s">
        <v>102</v>
      </c>
      <c r="J2" s="110" t="s">
        <v>12</v>
      </c>
      <c r="K2" s="110" t="s">
        <v>10</v>
      </c>
      <c r="L2" s="110" t="s">
        <v>10</v>
      </c>
      <c r="M2" s="110" t="s">
        <v>103</v>
      </c>
      <c r="N2" s="110" t="s">
        <v>11</v>
      </c>
      <c r="O2" s="110" t="s">
        <v>104</v>
      </c>
      <c r="P2" s="110" t="s">
        <v>13</v>
      </c>
      <c r="Q2" s="110" t="s">
        <v>105</v>
      </c>
      <c r="R2" s="110" t="s">
        <v>105</v>
      </c>
      <c r="S2" s="110" t="s">
        <v>107</v>
      </c>
      <c r="T2" s="110" t="s">
        <v>110</v>
      </c>
    </row>
    <row r="3" spans="1:20">
      <c r="A3" s="110" t="s">
        <v>42</v>
      </c>
      <c r="B3" s="110" t="s">
        <v>96</v>
      </c>
      <c r="C3" s="110">
        <v>12700</v>
      </c>
      <c r="D3" s="110">
        <v>26.2</v>
      </c>
      <c r="E3" s="110">
        <v>7142</v>
      </c>
      <c r="F3" s="110">
        <v>322.34999999999997</v>
      </c>
      <c r="G3" s="110">
        <v>0.83899999999999997</v>
      </c>
      <c r="H3" s="110">
        <v>1.327</v>
      </c>
      <c r="I3" s="110"/>
      <c r="J3" s="110"/>
      <c r="K3" s="110"/>
      <c r="L3" s="110"/>
      <c r="M3" s="110"/>
      <c r="N3" s="110"/>
      <c r="O3" s="110"/>
      <c r="P3" s="110">
        <v>95</v>
      </c>
      <c r="Q3" s="110"/>
      <c r="R3" s="110"/>
      <c r="S3" s="110"/>
      <c r="T3" s="110">
        <v>50</v>
      </c>
    </row>
    <row r="4" spans="1:20">
      <c r="A4" s="110" t="s">
        <v>46</v>
      </c>
      <c r="B4" s="110"/>
      <c r="C4" s="110"/>
      <c r="D4" s="110"/>
      <c r="E4" s="110"/>
      <c r="F4" s="110"/>
      <c r="G4" s="110"/>
      <c r="H4" s="110"/>
      <c r="I4" s="110"/>
      <c r="J4" s="110"/>
      <c r="K4" s="110"/>
      <c r="L4" s="110"/>
      <c r="M4" s="110"/>
      <c r="N4" s="110"/>
      <c r="O4" s="110"/>
      <c r="P4" s="110"/>
      <c r="Q4" s="110"/>
      <c r="R4" s="110"/>
      <c r="S4" s="110"/>
      <c r="T4" s="110"/>
    </row>
    <row r="5" spans="1:20">
      <c r="A5" s="110" t="s">
        <v>69</v>
      </c>
      <c r="B5" s="110" t="s">
        <v>62</v>
      </c>
      <c r="C5" s="110">
        <v>12290</v>
      </c>
      <c r="D5" s="110">
        <v>26.27</v>
      </c>
      <c r="E5" s="110">
        <v>7140</v>
      </c>
      <c r="F5" s="110">
        <v>322.34999999999997</v>
      </c>
      <c r="G5" s="110">
        <v>0.84</v>
      </c>
      <c r="H5" s="110">
        <v>1.5640000000000001</v>
      </c>
      <c r="I5" s="110">
        <v>17340</v>
      </c>
      <c r="J5" s="110">
        <v>406.54999999999995</v>
      </c>
      <c r="K5" s="110">
        <v>0.91</v>
      </c>
      <c r="L5" s="110">
        <v>1.5169999999999999</v>
      </c>
      <c r="M5" s="110">
        <v>88.710999999999999</v>
      </c>
      <c r="N5" s="110">
        <v>79.599999999999994</v>
      </c>
      <c r="O5" s="110"/>
      <c r="P5" s="110">
        <v>70.111111111111114</v>
      </c>
      <c r="Q5" s="110"/>
      <c r="R5" s="110"/>
      <c r="S5" s="110"/>
      <c r="T5" s="110"/>
    </row>
    <row r="6" spans="1:20">
      <c r="A6" s="110" t="s">
        <v>69</v>
      </c>
      <c r="B6" s="110" t="s">
        <v>108</v>
      </c>
      <c r="C6" s="110">
        <v>11530</v>
      </c>
      <c r="D6" s="110">
        <v>27.58</v>
      </c>
      <c r="E6" s="110">
        <v>7140</v>
      </c>
      <c r="F6" s="110">
        <v>322.34999999999997</v>
      </c>
      <c r="G6" s="110">
        <v>0.80800000000000005</v>
      </c>
      <c r="H6" s="110">
        <v>1.6060000000000001</v>
      </c>
      <c r="I6" s="110">
        <v>17180</v>
      </c>
      <c r="J6" s="110">
        <v>401.75</v>
      </c>
      <c r="K6" s="110">
        <v>0.878</v>
      </c>
      <c r="L6" s="110">
        <v>1.552</v>
      </c>
      <c r="M6" s="110">
        <v>80.084000000000003</v>
      </c>
      <c r="N6" s="110">
        <v>80.5</v>
      </c>
      <c r="O6" s="110"/>
      <c r="P6" s="110">
        <v>70.111111111111114</v>
      </c>
      <c r="Q6" s="110"/>
      <c r="R6" s="110"/>
      <c r="S6" s="110"/>
      <c r="T6" s="110"/>
    </row>
    <row r="7" spans="1:20">
      <c r="A7" s="110" t="s">
        <v>69</v>
      </c>
      <c r="B7" s="110" t="s">
        <v>109</v>
      </c>
      <c r="C7" s="110">
        <v>12332</v>
      </c>
      <c r="D7" s="110">
        <v>24.96</v>
      </c>
      <c r="E7" s="110">
        <v>7140</v>
      </c>
      <c r="F7" s="110">
        <v>322.34999999999997</v>
      </c>
      <c r="G7" s="110">
        <v>0.80300000000000005</v>
      </c>
      <c r="H7" s="110">
        <v>1.597</v>
      </c>
      <c r="I7" s="110">
        <v>17400</v>
      </c>
      <c r="J7" s="110">
        <v>401.34999999999997</v>
      </c>
      <c r="K7" s="110">
        <v>0.876</v>
      </c>
      <c r="L7" s="110">
        <v>1.536</v>
      </c>
      <c r="M7" s="110">
        <v>89.26</v>
      </c>
      <c r="N7" s="110">
        <v>79.5</v>
      </c>
      <c r="O7" s="110"/>
      <c r="P7" s="110">
        <v>70.271388888888893</v>
      </c>
      <c r="Q7" s="110"/>
      <c r="R7" s="110"/>
      <c r="S7" s="110"/>
      <c r="T7" s="110"/>
    </row>
    <row r="8" spans="1:20">
      <c r="A8" s="110" t="s">
        <v>69</v>
      </c>
      <c r="B8" s="110" t="s">
        <v>65</v>
      </c>
      <c r="C8" s="110">
        <v>12196</v>
      </c>
      <c r="D8" s="110">
        <v>26.28</v>
      </c>
      <c r="E8" s="110">
        <v>7140</v>
      </c>
      <c r="F8" s="110">
        <v>321.04999999999995</v>
      </c>
      <c r="G8" s="110">
        <v>0.83699999999999997</v>
      </c>
      <c r="H8" s="110">
        <v>1.573</v>
      </c>
      <c r="I8" s="110">
        <v>17400</v>
      </c>
      <c r="J8" s="110">
        <v>405.15</v>
      </c>
      <c r="K8" s="110">
        <v>0.90800000000000003</v>
      </c>
      <c r="L8" s="110">
        <v>1.5229999999999999</v>
      </c>
      <c r="M8" s="110">
        <v>88.415999999999997</v>
      </c>
      <c r="N8" s="110">
        <v>80</v>
      </c>
      <c r="O8" s="110"/>
      <c r="P8" s="110">
        <v>69.430000000000007</v>
      </c>
      <c r="Q8" s="110"/>
      <c r="R8" s="110"/>
      <c r="S8" s="110"/>
      <c r="T8" s="110"/>
    </row>
    <row r="9" spans="1:20">
      <c r="A9" s="110" t="s">
        <v>69</v>
      </c>
      <c r="B9" s="110" t="s">
        <v>66</v>
      </c>
      <c r="C9" s="110">
        <v>11774</v>
      </c>
      <c r="D9" s="110">
        <v>26.9</v>
      </c>
      <c r="E9" s="110">
        <v>7140</v>
      </c>
      <c r="F9" s="110">
        <v>320.54999999999995</v>
      </c>
      <c r="G9" s="110">
        <v>0.82299999999999995</v>
      </c>
      <c r="H9" s="110">
        <v>1.587</v>
      </c>
      <c r="I9" s="110">
        <v>17350</v>
      </c>
      <c r="J9" s="110">
        <v>401.95</v>
      </c>
      <c r="K9" s="110">
        <v>0.89400000000000002</v>
      </c>
      <c r="L9" s="110">
        <v>1.5369999999999999</v>
      </c>
      <c r="M9" s="110">
        <v>84.3</v>
      </c>
      <c r="N9" s="110">
        <v>80.8</v>
      </c>
      <c r="O9" s="110"/>
      <c r="P9" s="110">
        <v>68.349999999999994</v>
      </c>
      <c r="Q9" s="110"/>
      <c r="R9" s="110"/>
      <c r="S9" s="110"/>
      <c r="T9" s="110"/>
    </row>
    <row r="10" spans="1:20">
      <c r="A10" s="110" t="s">
        <v>69</v>
      </c>
      <c r="B10" s="110" t="s">
        <v>67</v>
      </c>
      <c r="C10" s="110">
        <v>11813</v>
      </c>
      <c r="D10" s="110">
        <v>26.4</v>
      </c>
      <c r="E10" s="110">
        <v>7150</v>
      </c>
      <c r="F10" s="110">
        <v>304.95</v>
      </c>
      <c r="G10" s="110">
        <v>0.78500000000000003</v>
      </c>
      <c r="H10" s="110">
        <v>1.679</v>
      </c>
      <c r="I10" s="110">
        <v>20130</v>
      </c>
      <c r="J10" s="110">
        <v>397.04999999999995</v>
      </c>
      <c r="K10" s="110">
        <v>0.88900000000000001</v>
      </c>
      <c r="L10" s="110">
        <v>1.597</v>
      </c>
      <c r="M10" s="110">
        <v>94.834000000000003</v>
      </c>
      <c r="N10" s="110">
        <v>83.4</v>
      </c>
      <c r="O10" s="110"/>
      <c r="P10" s="110">
        <v>65.83</v>
      </c>
      <c r="Q10" s="110"/>
      <c r="R10" s="110"/>
      <c r="S10" s="110"/>
      <c r="T10" s="110"/>
    </row>
    <row r="11" spans="1:20">
      <c r="A11" s="110" t="s">
        <v>69</v>
      </c>
      <c r="B11" s="110" t="s">
        <v>106</v>
      </c>
      <c r="C11" s="110">
        <v>12480</v>
      </c>
      <c r="D11" s="110">
        <v>20.16</v>
      </c>
      <c r="E11" s="110">
        <v>5200</v>
      </c>
      <c r="F11" s="110">
        <v>323.14999999999998</v>
      </c>
      <c r="G11" s="110">
        <v>0.90600000000000003</v>
      </c>
      <c r="H11" s="110">
        <v>1.4019999999999999</v>
      </c>
      <c r="I11" s="110">
        <v>11340</v>
      </c>
      <c r="J11" s="110">
        <v>392.45</v>
      </c>
      <c r="K11" s="110">
        <v>0.93</v>
      </c>
      <c r="L11" s="110">
        <v>1.3879999999999999</v>
      </c>
      <c r="M11" s="110">
        <v>105.404</v>
      </c>
      <c r="N11" s="110">
        <v>83.5</v>
      </c>
      <c r="O11" s="110"/>
      <c r="P11" s="110">
        <v>30</v>
      </c>
      <c r="Q11" s="110"/>
      <c r="R11" s="110"/>
      <c r="S11" s="110"/>
      <c r="T11" s="110"/>
    </row>
    <row r="12" spans="1:20">
      <c r="A12" s="110" t="s">
        <v>69</v>
      </c>
      <c r="B12" s="110" t="s">
        <v>68</v>
      </c>
      <c r="C12" s="110">
        <v>12655</v>
      </c>
      <c r="D12" s="110">
        <v>28.01</v>
      </c>
      <c r="E12" s="110">
        <v>4000</v>
      </c>
      <c r="F12" s="110">
        <v>323.14999999999998</v>
      </c>
      <c r="G12" s="110">
        <v>1</v>
      </c>
      <c r="H12" s="110">
        <v>1.405</v>
      </c>
      <c r="I12" s="110">
        <v>10000</v>
      </c>
      <c r="J12" s="110">
        <v>452.95</v>
      </c>
      <c r="K12" s="110">
        <v>1.004</v>
      </c>
      <c r="L12" s="110">
        <v>1.401</v>
      </c>
      <c r="M12" s="110">
        <v>105.70399999999999</v>
      </c>
      <c r="N12" s="110">
        <v>82.7</v>
      </c>
      <c r="O12" s="110"/>
      <c r="P12" s="110">
        <v>30</v>
      </c>
      <c r="Q12" s="110"/>
      <c r="R12" s="110"/>
      <c r="S12" s="110"/>
      <c r="T12" s="110"/>
    </row>
    <row r="13" spans="1:20">
      <c r="A13" s="110" t="s">
        <v>44</v>
      </c>
      <c r="B13" s="110" t="s">
        <v>62</v>
      </c>
      <c r="C13" s="110">
        <v>13335</v>
      </c>
      <c r="D13" s="110">
        <v>26.269929999999999</v>
      </c>
      <c r="E13" s="110">
        <v>7142</v>
      </c>
      <c r="F13" s="110">
        <v>322.33999999999997</v>
      </c>
      <c r="G13" s="110">
        <v>0.83973973073384955</v>
      </c>
      <c r="H13" s="110">
        <v>1.5741792710363818</v>
      </c>
      <c r="I13" s="110">
        <v>24797.030000000002</v>
      </c>
      <c r="J13" s="110">
        <v>440.92439999999999</v>
      </c>
      <c r="K13" s="110">
        <v>0.96721146120089463</v>
      </c>
      <c r="L13" s="110">
        <v>1.4860579246761976</v>
      </c>
      <c r="M13" s="110"/>
      <c r="N13" s="110"/>
      <c r="O13" s="110"/>
      <c r="P13" s="110">
        <v>51.983409999999999</v>
      </c>
      <c r="Q13" s="110"/>
      <c r="R13" s="110"/>
      <c r="S13" s="110"/>
      <c r="T13" s="110"/>
    </row>
    <row r="14" spans="1:20">
      <c r="A14" s="110" t="s">
        <v>44</v>
      </c>
      <c r="B14" s="110" t="s">
        <v>62</v>
      </c>
      <c r="C14" s="110">
        <v>13335</v>
      </c>
      <c r="D14" s="110">
        <v>26.269929999999999</v>
      </c>
      <c r="E14" s="110">
        <v>7142</v>
      </c>
      <c r="F14" s="110">
        <v>322.33999999999997</v>
      </c>
      <c r="G14" s="110">
        <v>0.83973973073384955</v>
      </c>
      <c r="H14" s="110">
        <v>1.5741792710363818</v>
      </c>
      <c r="I14" s="110">
        <v>24740.719999999998</v>
      </c>
      <c r="J14" s="110">
        <v>440.53449999999998</v>
      </c>
      <c r="K14" s="110">
        <v>0.96668123409524453</v>
      </c>
      <c r="L14" s="110">
        <v>1.4865159520190259</v>
      </c>
      <c r="M14" s="110"/>
      <c r="N14" s="110"/>
      <c r="O14" s="110"/>
      <c r="P14" s="110">
        <v>52.672919999999998</v>
      </c>
      <c r="Q14" s="110"/>
      <c r="R14" s="110"/>
      <c r="S14" s="110"/>
      <c r="T14" s="110"/>
    </row>
    <row r="15" spans="1:20">
      <c r="A15" s="110" t="s">
        <v>44</v>
      </c>
      <c r="B15" s="110" t="s">
        <v>62</v>
      </c>
      <c r="C15" s="110">
        <v>13335</v>
      </c>
      <c r="D15" s="110">
        <v>26.269929999999999</v>
      </c>
      <c r="E15" s="110">
        <v>7142</v>
      </c>
      <c r="F15" s="110">
        <v>322.33999999999997</v>
      </c>
      <c r="G15" s="110">
        <v>0.83973973073384955</v>
      </c>
      <c r="H15" s="110">
        <v>1.5741792710363818</v>
      </c>
      <c r="I15" s="110">
        <v>24709.129999999997</v>
      </c>
      <c r="J15" s="110">
        <v>440.32060000000001</v>
      </c>
      <c r="K15" s="110">
        <v>0.96638438033449803</v>
      </c>
      <c r="L15" s="110">
        <v>1.4867591046007345</v>
      </c>
      <c r="M15" s="110"/>
      <c r="N15" s="110"/>
      <c r="O15" s="110"/>
      <c r="P15" s="110">
        <v>53.047150000000002</v>
      </c>
      <c r="Q15" s="110"/>
      <c r="R15" s="110"/>
      <c r="S15" s="110"/>
      <c r="T15" s="110"/>
    </row>
    <row r="16" spans="1:20">
      <c r="A16" s="110" t="s">
        <v>44</v>
      </c>
      <c r="B16" s="110" t="s">
        <v>62</v>
      </c>
      <c r="C16" s="110">
        <v>13335</v>
      </c>
      <c r="D16" s="110">
        <v>26.269929999999999</v>
      </c>
      <c r="E16" s="110">
        <v>7142</v>
      </c>
      <c r="F16" s="110">
        <v>322.33999999999997</v>
      </c>
      <c r="G16" s="110">
        <v>0.83973973073384955</v>
      </c>
      <c r="H16" s="110">
        <v>1.5741792710363818</v>
      </c>
      <c r="I16" s="110">
        <v>24447.360000000001</v>
      </c>
      <c r="J16" s="110">
        <v>438.67250000000001</v>
      </c>
      <c r="K16" s="110">
        <v>0.96393316242303617</v>
      </c>
      <c r="L16" s="110">
        <v>1.4884214132286611</v>
      </c>
      <c r="M16" s="110"/>
      <c r="N16" s="110"/>
      <c r="O16" s="110"/>
      <c r="P16" s="110">
        <v>55.792879999999997</v>
      </c>
      <c r="Q16" s="110"/>
      <c r="R16" s="110"/>
      <c r="S16" s="110"/>
      <c r="T16" s="110"/>
    </row>
    <row r="17" spans="1:20">
      <c r="A17" s="110" t="s">
        <v>44</v>
      </c>
      <c r="B17" s="110" t="s">
        <v>62</v>
      </c>
      <c r="C17" s="110">
        <v>13335</v>
      </c>
      <c r="D17" s="110">
        <v>26.269929999999999</v>
      </c>
      <c r="E17" s="110">
        <v>7142</v>
      </c>
      <c r="F17" s="110">
        <v>322.33999999999997</v>
      </c>
      <c r="G17" s="110">
        <v>0.83973973073384955</v>
      </c>
      <c r="H17" s="110">
        <v>1.5741792710363818</v>
      </c>
      <c r="I17" s="110">
        <v>24234.14</v>
      </c>
      <c r="J17" s="110">
        <v>437.49430000000001</v>
      </c>
      <c r="K17" s="110">
        <v>0.96195142625090835</v>
      </c>
      <c r="L17" s="110">
        <v>1.4893157014936347</v>
      </c>
      <c r="M17" s="110"/>
      <c r="N17" s="110"/>
      <c r="O17" s="110"/>
      <c r="P17" s="110">
        <v>57.653889999999997</v>
      </c>
      <c r="Q17" s="110"/>
      <c r="R17" s="110"/>
      <c r="S17" s="110"/>
      <c r="T17" s="110"/>
    </row>
    <row r="18" spans="1:20">
      <c r="A18" s="110" t="s">
        <v>44</v>
      </c>
      <c r="B18" s="110" t="s">
        <v>62</v>
      </c>
      <c r="C18" s="110">
        <v>13335</v>
      </c>
      <c r="D18" s="110">
        <v>26.269929999999999</v>
      </c>
      <c r="E18" s="110">
        <v>7142</v>
      </c>
      <c r="F18" s="110">
        <v>322.33999999999997</v>
      </c>
      <c r="G18" s="110">
        <v>0.83973973073384955</v>
      </c>
      <c r="H18" s="110">
        <v>1.5741792710363818</v>
      </c>
      <c r="I18" s="110">
        <v>23910.04</v>
      </c>
      <c r="J18" s="110">
        <v>435.84140000000002</v>
      </c>
      <c r="K18" s="110">
        <v>0.95876327004966422</v>
      </c>
      <c r="L18" s="110">
        <v>1.4903512452860139</v>
      </c>
      <c r="M18" s="110"/>
      <c r="N18" s="110"/>
      <c r="O18" s="110"/>
      <c r="P18" s="110">
        <v>60.15934</v>
      </c>
      <c r="Q18" s="110"/>
      <c r="R18" s="110"/>
      <c r="S18" s="110"/>
      <c r="T18" s="110"/>
    </row>
    <row r="19" spans="1:20">
      <c r="A19" s="110" t="s">
        <v>44</v>
      </c>
      <c r="B19" s="110" t="s">
        <v>62</v>
      </c>
      <c r="C19" s="110">
        <v>13335</v>
      </c>
      <c r="D19" s="110">
        <v>26.269929999999999</v>
      </c>
      <c r="E19" s="110">
        <v>7142</v>
      </c>
      <c r="F19" s="110">
        <v>322.33999999999997</v>
      </c>
      <c r="G19" s="110">
        <v>0.83973973073384955</v>
      </c>
      <c r="H19" s="110">
        <v>1.5741792710363818</v>
      </c>
      <c r="I19" s="110">
        <v>23100.71</v>
      </c>
      <c r="J19" s="110">
        <v>432.08479999999997</v>
      </c>
      <c r="K19" s="110">
        <v>0.94971702391124224</v>
      </c>
      <c r="L19" s="110">
        <v>1.4919892692487051</v>
      </c>
      <c r="M19" s="110"/>
      <c r="N19" s="110"/>
      <c r="O19" s="110"/>
      <c r="P19" s="110">
        <v>65.818799999999996</v>
      </c>
      <c r="Q19" s="110"/>
      <c r="R19" s="110"/>
      <c r="S19" s="110"/>
      <c r="T19" s="110"/>
    </row>
    <row r="20" spans="1:20">
      <c r="A20" s="110" t="s">
        <v>44</v>
      </c>
      <c r="B20" s="110" t="s">
        <v>62</v>
      </c>
      <c r="C20" s="110">
        <v>13335</v>
      </c>
      <c r="D20" s="110">
        <v>26.269929999999999</v>
      </c>
      <c r="E20" s="110">
        <v>7142</v>
      </c>
      <c r="F20" s="110">
        <v>322.33999999999997</v>
      </c>
      <c r="G20" s="110">
        <v>0.83973973073384955</v>
      </c>
      <c r="H20" s="110">
        <v>1.5741792710363818</v>
      </c>
      <c r="I20" s="110">
        <v>22285.61</v>
      </c>
      <c r="J20" s="110">
        <v>428.69119999999998</v>
      </c>
      <c r="K20" s="110">
        <v>0.94476921536524183</v>
      </c>
      <c r="L20" s="110">
        <v>1.5023857928161277</v>
      </c>
      <c r="M20" s="110"/>
      <c r="N20" s="110"/>
      <c r="O20" s="110"/>
      <c r="P20" s="110">
        <v>70.426500000000004</v>
      </c>
      <c r="Q20" s="110"/>
      <c r="R20" s="110"/>
      <c r="S20" s="110"/>
      <c r="T20" s="110"/>
    </row>
    <row r="21" spans="1:20">
      <c r="A21" s="110" t="s">
        <v>44</v>
      </c>
      <c r="B21" s="110" t="s">
        <v>62</v>
      </c>
      <c r="C21" s="110">
        <v>13335</v>
      </c>
      <c r="D21" s="110">
        <v>26.269929999999999</v>
      </c>
      <c r="E21" s="110">
        <v>7142</v>
      </c>
      <c r="F21" s="110">
        <v>322.33999999999997</v>
      </c>
      <c r="G21" s="110">
        <v>0.83973973073384955</v>
      </c>
      <c r="H21" s="110">
        <v>1.5741792710363818</v>
      </c>
      <c r="I21" s="110">
        <v>21357.59</v>
      </c>
      <c r="J21" s="110">
        <v>425.14929999999998</v>
      </c>
      <c r="K21" s="110">
        <v>0.9386355208424485</v>
      </c>
      <c r="L21" s="110">
        <v>1.502250795363576</v>
      </c>
      <c r="M21" s="110"/>
      <c r="N21" s="110"/>
      <c r="O21" s="110"/>
      <c r="P21" s="110">
        <v>74.413870000000003</v>
      </c>
      <c r="Q21" s="110"/>
      <c r="R21" s="110"/>
      <c r="S21" s="110"/>
      <c r="T21" s="110"/>
    </row>
    <row r="22" spans="1:20">
      <c r="A22" s="110" t="s">
        <v>44</v>
      </c>
      <c r="B22" s="110" t="s">
        <v>62</v>
      </c>
      <c r="C22" s="110">
        <v>13335</v>
      </c>
      <c r="D22" s="110">
        <v>26.269929999999999</v>
      </c>
      <c r="E22" s="110">
        <v>7142</v>
      </c>
      <c r="F22" s="110">
        <v>322.33999999999997</v>
      </c>
      <c r="G22" s="110">
        <v>0.83973973073384955</v>
      </c>
      <c r="H22" s="110">
        <v>1.5741792710363818</v>
      </c>
      <c r="I22" s="110">
        <v>20741.37</v>
      </c>
      <c r="J22" s="110">
        <v>422.94319999999999</v>
      </c>
      <c r="K22" s="110">
        <v>0.93283668111088869</v>
      </c>
      <c r="L22" s="110">
        <v>1.5012871531914267</v>
      </c>
      <c r="M22" s="110"/>
      <c r="N22" s="110"/>
      <c r="O22" s="110"/>
      <c r="P22" s="110">
        <v>76.575530000000001</v>
      </c>
      <c r="Q22" s="110"/>
      <c r="R22" s="110"/>
      <c r="S22" s="110"/>
      <c r="T22" s="110"/>
    </row>
    <row r="23" spans="1:20">
      <c r="A23" s="110" t="s">
        <v>44</v>
      </c>
      <c r="B23" s="110" t="s">
        <v>62</v>
      </c>
      <c r="C23" s="110">
        <v>13335</v>
      </c>
      <c r="D23" s="110">
        <v>26.269929999999999</v>
      </c>
      <c r="E23" s="110">
        <v>7142</v>
      </c>
      <c r="F23" s="110">
        <v>322.33999999999997</v>
      </c>
      <c r="G23" s="110">
        <v>0.83973973073384955</v>
      </c>
      <c r="H23" s="110">
        <v>1.5741792710363818</v>
      </c>
      <c r="I23" s="110">
        <v>20431.36</v>
      </c>
      <c r="J23" s="110">
        <v>421.86790000000002</v>
      </c>
      <c r="K23" s="110">
        <v>0.92991431280447978</v>
      </c>
      <c r="L23" s="110">
        <v>1.5048943432300512</v>
      </c>
      <c r="M23" s="110"/>
      <c r="N23" s="110"/>
      <c r="O23" s="110"/>
      <c r="P23" s="110">
        <v>77.519390000000001</v>
      </c>
      <c r="Q23" s="110"/>
      <c r="R23" s="110"/>
      <c r="S23" s="110"/>
      <c r="T23" s="110"/>
    </row>
    <row r="24" spans="1:20">
      <c r="A24" s="110" t="s">
        <v>44</v>
      </c>
      <c r="B24" s="110" t="s">
        <v>62</v>
      </c>
      <c r="C24" s="110">
        <v>13335</v>
      </c>
      <c r="D24" s="110">
        <v>26.269929999999999</v>
      </c>
      <c r="E24" s="110">
        <v>7142</v>
      </c>
      <c r="F24" s="110">
        <v>322.33999999999997</v>
      </c>
      <c r="G24" s="110">
        <v>0.83973973073384955</v>
      </c>
      <c r="H24" s="110">
        <v>1.5741792710363818</v>
      </c>
      <c r="I24" s="110">
        <v>19958.38</v>
      </c>
      <c r="J24" s="110">
        <v>420.2457</v>
      </c>
      <c r="K24" s="110">
        <v>0.92906311947750875</v>
      </c>
      <c r="L24" s="110">
        <v>1.5046895088951215</v>
      </c>
      <c r="M24" s="110"/>
      <c r="N24" s="110"/>
      <c r="O24" s="110"/>
      <c r="P24" s="110">
        <v>78.843860000000006</v>
      </c>
      <c r="Q24" s="110"/>
      <c r="R24" s="110"/>
      <c r="S24" s="110"/>
      <c r="T24" s="110"/>
    </row>
    <row r="25" spans="1:20">
      <c r="A25" s="110" t="s">
        <v>44</v>
      </c>
      <c r="B25" s="110" t="s">
        <v>62</v>
      </c>
      <c r="C25" s="110">
        <v>13335</v>
      </c>
      <c r="D25" s="110">
        <v>26.269929999999999</v>
      </c>
      <c r="E25" s="110">
        <v>7142</v>
      </c>
      <c r="F25" s="110">
        <v>322.33999999999997</v>
      </c>
      <c r="G25" s="110">
        <v>0.83973973073384955</v>
      </c>
      <c r="H25" s="110">
        <v>1.5741792710363818</v>
      </c>
      <c r="I25" s="110">
        <v>18869.939999999999</v>
      </c>
      <c r="J25" s="110">
        <v>416.56670000000003</v>
      </c>
      <c r="K25" s="110">
        <v>0.92311726533715888</v>
      </c>
      <c r="L25" s="110">
        <v>1.5029929999293736</v>
      </c>
      <c r="M25" s="110"/>
      <c r="N25" s="110"/>
      <c r="O25" s="110"/>
      <c r="P25" s="110">
        <v>81.361180000000004</v>
      </c>
      <c r="Q25" s="110"/>
      <c r="R25" s="110"/>
      <c r="S25" s="110"/>
      <c r="T25" s="110"/>
    </row>
    <row r="26" spans="1:20">
      <c r="A26" s="110" t="s">
        <v>44</v>
      </c>
      <c r="B26" s="110" t="s">
        <v>62</v>
      </c>
      <c r="C26" s="110">
        <v>13335</v>
      </c>
      <c r="D26" s="110">
        <v>26.269929999999999</v>
      </c>
      <c r="E26" s="110">
        <v>7142</v>
      </c>
      <c r="F26" s="110">
        <v>322.33999999999997</v>
      </c>
      <c r="G26" s="110">
        <v>0.83973973073384955</v>
      </c>
      <c r="H26" s="110">
        <v>1.5741792710363818</v>
      </c>
      <c r="I26" s="110">
        <v>18253.23</v>
      </c>
      <c r="J26" s="110">
        <v>414.5727</v>
      </c>
      <c r="K26" s="110">
        <v>0.91803151856299003</v>
      </c>
      <c r="L26" s="110">
        <v>1.4999482602418379</v>
      </c>
      <c r="M26" s="110"/>
      <c r="N26" s="110"/>
      <c r="O26" s="110"/>
      <c r="P26" s="110">
        <v>82.443870000000004</v>
      </c>
      <c r="Q26" s="110"/>
      <c r="R26" s="110"/>
      <c r="S26" s="110"/>
      <c r="T26" s="110"/>
    </row>
    <row r="27" spans="1:20">
      <c r="A27" s="110" t="s">
        <v>44</v>
      </c>
      <c r="B27" s="110" t="s">
        <v>62</v>
      </c>
      <c r="C27" s="110">
        <v>13335</v>
      </c>
      <c r="D27" s="110">
        <v>26.269929999999999</v>
      </c>
      <c r="E27" s="110">
        <v>7142</v>
      </c>
      <c r="F27" s="110">
        <v>322.33999999999997</v>
      </c>
      <c r="G27" s="110">
        <v>0.83973973073384955</v>
      </c>
      <c r="H27" s="110">
        <v>1.5741792710363818</v>
      </c>
      <c r="I27" s="110">
        <v>17119.61</v>
      </c>
      <c r="J27" s="110">
        <v>410.97710000000001</v>
      </c>
      <c r="K27" s="110">
        <v>0.91564534109747342</v>
      </c>
      <c r="L27" s="110">
        <v>1.5002720693111755</v>
      </c>
      <c r="M27" s="110"/>
      <c r="N27" s="110"/>
      <c r="O27" s="110"/>
      <c r="P27" s="110">
        <v>84.007840000000002</v>
      </c>
      <c r="Q27" s="110"/>
      <c r="R27" s="110"/>
      <c r="S27" s="110"/>
      <c r="T27" s="110"/>
    </row>
    <row r="28" spans="1:20">
      <c r="A28" s="110" t="s">
        <v>44</v>
      </c>
      <c r="B28" s="110" t="s">
        <v>62</v>
      </c>
      <c r="C28" s="110">
        <v>13335</v>
      </c>
      <c r="D28" s="110">
        <v>26.269929999999999</v>
      </c>
      <c r="E28" s="110">
        <v>7142</v>
      </c>
      <c r="F28" s="110">
        <v>322.33999999999997</v>
      </c>
      <c r="G28" s="110">
        <v>0.83973973073384955</v>
      </c>
      <c r="H28" s="110">
        <v>1.5741792710363818</v>
      </c>
      <c r="I28" s="110">
        <v>16610.89</v>
      </c>
      <c r="J28" s="110">
        <v>409.2919</v>
      </c>
      <c r="K28" s="110">
        <v>0.91197966544132791</v>
      </c>
      <c r="L28" s="110">
        <v>1.499565114715407</v>
      </c>
      <c r="M28" s="110"/>
      <c r="N28" s="110"/>
      <c r="O28" s="110"/>
      <c r="P28" s="110">
        <v>84.652379999999994</v>
      </c>
      <c r="Q28" s="110"/>
      <c r="R28" s="110"/>
      <c r="S28" s="110"/>
      <c r="T28" s="110"/>
    </row>
    <row r="29" spans="1:20">
      <c r="A29" s="110" t="s">
        <v>44</v>
      </c>
      <c r="B29" s="110" t="s">
        <v>62</v>
      </c>
      <c r="C29" s="110">
        <v>13335</v>
      </c>
      <c r="D29" s="110">
        <v>26.269929999999999</v>
      </c>
      <c r="E29" s="110">
        <v>7142</v>
      </c>
      <c r="F29" s="110">
        <v>322.33999999999997</v>
      </c>
      <c r="G29" s="110">
        <v>0.83973973073384955</v>
      </c>
      <c r="H29" s="110">
        <v>1.5741792710363818</v>
      </c>
      <c r="I29" s="110">
        <v>15403.66</v>
      </c>
      <c r="J29" s="110">
        <v>405.22</v>
      </c>
      <c r="K29" s="110">
        <v>0.90976209377758632</v>
      </c>
      <c r="L29" s="110">
        <v>1.4924926286639777</v>
      </c>
      <c r="M29" s="110"/>
      <c r="N29" s="110"/>
      <c r="O29" s="110"/>
      <c r="P29" s="110">
        <v>86.008769999999998</v>
      </c>
      <c r="Q29" s="110"/>
      <c r="R29" s="110"/>
      <c r="S29" s="110"/>
      <c r="T29" s="110"/>
    </row>
    <row r="30" spans="1:20">
      <c r="A30" s="110" t="s">
        <v>44</v>
      </c>
      <c r="B30" s="110" t="s">
        <v>62</v>
      </c>
      <c r="C30" s="110">
        <v>13335</v>
      </c>
      <c r="D30" s="110">
        <v>26.269929999999999</v>
      </c>
      <c r="E30" s="110">
        <v>7142</v>
      </c>
      <c r="F30" s="110">
        <v>322.33999999999997</v>
      </c>
      <c r="G30" s="110">
        <v>0.83973973073384955</v>
      </c>
      <c r="H30" s="110">
        <v>1.5741792710363818</v>
      </c>
      <c r="I30" s="110">
        <v>14820.72</v>
      </c>
      <c r="J30" s="110">
        <v>403.22219999999999</v>
      </c>
      <c r="K30" s="110">
        <v>0.90610137583957628</v>
      </c>
      <c r="L30" s="110">
        <v>1.4921354035762497</v>
      </c>
      <c r="M30" s="110"/>
      <c r="N30" s="110"/>
      <c r="O30" s="110"/>
      <c r="P30" s="110">
        <v>86.598159999999993</v>
      </c>
      <c r="Q30" s="110"/>
      <c r="R30" s="110"/>
      <c r="S30" s="110"/>
      <c r="T30" s="110"/>
    </row>
    <row r="31" spans="1:20">
      <c r="A31" s="110" t="s">
        <v>44</v>
      </c>
      <c r="B31" s="110" t="s">
        <v>62</v>
      </c>
      <c r="C31" s="110">
        <v>13335</v>
      </c>
      <c r="D31" s="110">
        <v>26.269929999999999</v>
      </c>
      <c r="E31" s="110">
        <v>7142</v>
      </c>
      <c r="F31" s="110">
        <v>322.33999999999997</v>
      </c>
      <c r="G31" s="110">
        <v>0.83973973073384955</v>
      </c>
      <c r="H31" s="110">
        <v>1.5741792710363818</v>
      </c>
      <c r="I31" s="110">
        <v>13570.009999999998</v>
      </c>
      <c r="J31" s="110">
        <v>398.86950000000002</v>
      </c>
      <c r="K31" s="110">
        <v>0.90511932609534085</v>
      </c>
      <c r="L31" s="110">
        <v>1.4830079701466221</v>
      </c>
      <c r="M31" s="110"/>
      <c r="N31" s="110"/>
      <c r="O31" s="110"/>
      <c r="P31" s="110">
        <v>87.655379999999994</v>
      </c>
      <c r="Q31" s="110"/>
      <c r="R31" s="110"/>
      <c r="S31" s="110"/>
      <c r="T31" s="110"/>
    </row>
    <row r="32" spans="1:20">
      <c r="A32" s="110" t="s">
        <v>44</v>
      </c>
      <c r="B32" s="110" t="s">
        <v>62</v>
      </c>
      <c r="C32" s="110">
        <v>12700</v>
      </c>
      <c r="D32" s="110">
        <v>26.269929999999999</v>
      </c>
      <c r="E32" s="110">
        <v>7142</v>
      </c>
      <c r="F32" s="110">
        <v>322.33999999999997</v>
      </c>
      <c r="G32" s="110">
        <v>0.83973973073384955</v>
      </c>
      <c r="H32" s="110">
        <v>1.5741792710363818</v>
      </c>
      <c r="I32" s="110">
        <v>22644.799999999999</v>
      </c>
      <c r="J32" s="110">
        <v>432.21120000000002</v>
      </c>
      <c r="K32" s="110">
        <v>0.94873243142732844</v>
      </c>
      <c r="L32" s="110">
        <v>1.4956394287055434</v>
      </c>
      <c r="M32" s="110"/>
      <c r="N32" s="110"/>
      <c r="O32" s="110"/>
      <c r="P32" s="110">
        <v>46.91489</v>
      </c>
      <c r="Q32" s="110"/>
      <c r="R32" s="110"/>
      <c r="S32" s="110"/>
      <c r="T32" s="110"/>
    </row>
    <row r="33" spans="1:20">
      <c r="A33" s="110" t="s">
        <v>44</v>
      </c>
      <c r="B33" s="110" t="s">
        <v>62</v>
      </c>
      <c r="C33" s="110">
        <v>12700</v>
      </c>
      <c r="D33" s="110">
        <v>26.269929999999999</v>
      </c>
      <c r="E33" s="110">
        <v>7142</v>
      </c>
      <c r="F33" s="110">
        <v>322.33999999999997</v>
      </c>
      <c r="G33" s="110">
        <v>0.83973973073384955</v>
      </c>
      <c r="H33" s="110">
        <v>1.5741792710363818</v>
      </c>
      <c r="I33" s="110">
        <v>22614.43</v>
      </c>
      <c r="J33" s="110">
        <v>431.98169999999999</v>
      </c>
      <c r="K33" s="110">
        <v>0.94849759918686016</v>
      </c>
      <c r="L33" s="110">
        <v>1.4960108276168336</v>
      </c>
      <c r="M33" s="110"/>
      <c r="N33" s="110"/>
      <c r="O33" s="110"/>
      <c r="P33" s="110">
        <v>47.329009999999997</v>
      </c>
      <c r="Q33" s="110"/>
      <c r="R33" s="110"/>
      <c r="S33" s="110"/>
      <c r="T33" s="110"/>
    </row>
    <row r="34" spans="1:20">
      <c r="A34" s="110" t="s">
        <v>44</v>
      </c>
      <c r="B34" s="110" t="s">
        <v>62</v>
      </c>
      <c r="C34" s="110">
        <v>12700</v>
      </c>
      <c r="D34" s="110">
        <v>26.269929999999999</v>
      </c>
      <c r="E34" s="110">
        <v>7142</v>
      </c>
      <c r="F34" s="110">
        <v>322.33999999999997</v>
      </c>
      <c r="G34" s="110">
        <v>0.83973973073384955</v>
      </c>
      <c r="H34" s="110">
        <v>1.5741792710363818</v>
      </c>
      <c r="I34" s="110">
        <v>22566.71</v>
      </c>
      <c r="J34" s="110">
        <v>431.63330000000002</v>
      </c>
      <c r="K34" s="110">
        <v>0.94813520728804423</v>
      </c>
      <c r="L34" s="110">
        <v>1.4965541505445477</v>
      </c>
      <c r="M34" s="110"/>
      <c r="N34" s="110"/>
      <c r="O34" s="110"/>
      <c r="P34" s="110">
        <v>47.950749999999999</v>
      </c>
      <c r="Q34" s="110"/>
      <c r="R34" s="110"/>
      <c r="S34" s="110"/>
      <c r="T34" s="110"/>
    </row>
    <row r="35" spans="1:20">
      <c r="A35" s="110" t="s">
        <v>44</v>
      </c>
      <c r="B35" s="110" t="s">
        <v>62</v>
      </c>
      <c r="C35" s="110">
        <v>12700</v>
      </c>
      <c r="D35" s="110">
        <v>26.269929999999999</v>
      </c>
      <c r="E35" s="110">
        <v>7142</v>
      </c>
      <c r="F35" s="110">
        <v>322.33999999999997</v>
      </c>
      <c r="G35" s="110">
        <v>0.83973973073384955</v>
      </c>
      <c r="H35" s="110">
        <v>1.5741792710363818</v>
      </c>
      <c r="I35" s="110">
        <v>22369.27</v>
      </c>
      <c r="J35" s="110">
        <v>430.25839999999999</v>
      </c>
      <c r="K35" s="110">
        <v>0.94661578665862622</v>
      </c>
      <c r="L35" s="110">
        <v>1.4985622992062877</v>
      </c>
      <c r="M35" s="110"/>
      <c r="N35" s="110"/>
      <c r="O35" s="110"/>
      <c r="P35" s="110">
        <v>50.333950000000002</v>
      </c>
      <c r="Q35" s="110"/>
      <c r="R35" s="110"/>
      <c r="S35" s="110"/>
      <c r="T35" s="110"/>
    </row>
    <row r="36" spans="1:20">
      <c r="A36" s="110" t="s">
        <v>44</v>
      </c>
      <c r="B36" s="110" t="s">
        <v>62</v>
      </c>
      <c r="C36" s="110">
        <v>12700</v>
      </c>
      <c r="D36" s="110">
        <v>26.269929999999999</v>
      </c>
      <c r="E36" s="110">
        <v>7142</v>
      </c>
      <c r="F36" s="110">
        <v>322.33999999999997</v>
      </c>
      <c r="G36" s="110">
        <v>0.83973973073384955</v>
      </c>
      <c r="H36" s="110">
        <v>1.5741792710363818</v>
      </c>
      <c r="I36" s="110">
        <v>22336.38</v>
      </c>
      <c r="J36" s="110">
        <v>430.03660000000002</v>
      </c>
      <c r="K36" s="110">
        <v>0.94635594426220704</v>
      </c>
      <c r="L36" s="110">
        <v>1.4988691727572401</v>
      </c>
      <c r="M36" s="110"/>
      <c r="N36" s="110"/>
      <c r="O36" s="110"/>
      <c r="P36" s="110">
        <v>50.708599999999997</v>
      </c>
      <c r="Q36" s="110"/>
      <c r="R36" s="110"/>
      <c r="S36" s="110"/>
      <c r="T36" s="110"/>
    </row>
    <row r="37" spans="1:20">
      <c r="A37" s="110" t="s">
        <v>44</v>
      </c>
      <c r="B37" s="110" t="s">
        <v>62</v>
      </c>
      <c r="C37" s="110">
        <v>12700</v>
      </c>
      <c r="D37" s="110">
        <v>26.269929999999999</v>
      </c>
      <c r="E37" s="110">
        <v>7142</v>
      </c>
      <c r="F37" s="110">
        <v>322.33999999999997</v>
      </c>
      <c r="G37" s="110">
        <v>0.83973973073384955</v>
      </c>
      <c r="H37" s="110">
        <v>1.5741792710363818</v>
      </c>
      <c r="I37" s="110">
        <v>21883.35</v>
      </c>
      <c r="J37" s="110">
        <v>427.24119999999999</v>
      </c>
      <c r="K37" s="110">
        <v>0.94264633431987466</v>
      </c>
      <c r="L37" s="110">
        <v>1.5021521537461728</v>
      </c>
      <c r="M37" s="110"/>
      <c r="N37" s="110"/>
      <c r="O37" s="110"/>
      <c r="P37" s="110">
        <v>55.058250000000001</v>
      </c>
      <c r="Q37" s="110"/>
      <c r="R37" s="110"/>
      <c r="S37" s="110"/>
      <c r="T37" s="110"/>
    </row>
    <row r="38" spans="1:20">
      <c r="A38" s="110" t="s">
        <v>44</v>
      </c>
      <c r="B38" s="110" t="s">
        <v>62</v>
      </c>
      <c r="C38" s="110">
        <v>12700</v>
      </c>
      <c r="D38" s="110">
        <v>26.269929999999999</v>
      </c>
      <c r="E38" s="110">
        <v>7142</v>
      </c>
      <c r="F38" s="110">
        <v>322.33999999999997</v>
      </c>
      <c r="G38" s="110">
        <v>0.83973973073384955</v>
      </c>
      <c r="H38" s="110">
        <v>1.5741792710363818</v>
      </c>
      <c r="I38" s="110">
        <v>21168.100000000002</v>
      </c>
      <c r="J38" s="110">
        <v>423.5249</v>
      </c>
      <c r="K38" s="110">
        <v>0.93581365223258972</v>
      </c>
      <c r="L38" s="110">
        <v>1.504895736771249</v>
      </c>
      <c r="M38" s="110"/>
      <c r="N38" s="110"/>
      <c r="O38" s="110"/>
      <c r="P38" s="110">
        <v>60.672029999999999</v>
      </c>
      <c r="Q38" s="110"/>
      <c r="R38" s="110"/>
      <c r="S38" s="110"/>
      <c r="T38" s="110"/>
    </row>
    <row r="39" spans="1:20">
      <c r="A39" s="110" t="s">
        <v>44</v>
      </c>
      <c r="B39" s="110" t="s">
        <v>62</v>
      </c>
      <c r="C39" s="110">
        <v>12700</v>
      </c>
      <c r="D39" s="110">
        <v>26.269929999999999</v>
      </c>
      <c r="E39" s="110">
        <v>7142</v>
      </c>
      <c r="F39" s="110">
        <v>322.33999999999997</v>
      </c>
      <c r="G39" s="110">
        <v>0.83973973073384955</v>
      </c>
      <c r="H39" s="110">
        <v>1.5741792710363818</v>
      </c>
      <c r="I39" s="110">
        <v>20398.57</v>
      </c>
      <c r="J39" s="110">
        <v>420.09769999999997</v>
      </c>
      <c r="K39" s="110">
        <v>0.92778170476817423</v>
      </c>
      <c r="L39" s="110">
        <v>1.5103965833959145</v>
      </c>
      <c r="M39" s="110"/>
      <c r="N39" s="110"/>
      <c r="O39" s="110"/>
      <c r="P39" s="110">
        <v>65.234470000000002</v>
      </c>
      <c r="Q39" s="110"/>
      <c r="R39" s="110"/>
      <c r="S39" s="110"/>
      <c r="T39" s="110"/>
    </row>
    <row r="40" spans="1:20">
      <c r="A40" s="110" t="s">
        <v>44</v>
      </c>
      <c r="B40" s="110" t="s">
        <v>62</v>
      </c>
      <c r="C40" s="110">
        <v>12700</v>
      </c>
      <c r="D40" s="110">
        <v>26.269929999999999</v>
      </c>
      <c r="E40" s="110">
        <v>7142</v>
      </c>
      <c r="F40" s="110">
        <v>322.33999999999997</v>
      </c>
      <c r="G40" s="110">
        <v>0.83973973073384955</v>
      </c>
      <c r="H40" s="110">
        <v>1.5741792710363818</v>
      </c>
      <c r="I40" s="110">
        <v>19480.78</v>
      </c>
      <c r="J40" s="110">
        <v>416.32029999999997</v>
      </c>
      <c r="K40" s="110">
        <v>0.92418981895025709</v>
      </c>
      <c r="L40" s="110">
        <v>1.5117508045753412</v>
      </c>
      <c r="M40" s="110"/>
      <c r="N40" s="110"/>
      <c r="O40" s="110"/>
      <c r="P40" s="110">
        <v>69.481809999999996</v>
      </c>
      <c r="Q40" s="110"/>
      <c r="R40" s="110"/>
      <c r="S40" s="110"/>
      <c r="T40" s="110"/>
    </row>
    <row r="41" spans="1:20">
      <c r="A41" s="110" t="s">
        <v>44</v>
      </c>
      <c r="B41" s="110" t="s">
        <v>62</v>
      </c>
      <c r="C41" s="110">
        <v>12700</v>
      </c>
      <c r="D41" s="110">
        <v>26.269929999999999</v>
      </c>
      <c r="E41" s="110">
        <v>7142</v>
      </c>
      <c r="F41" s="110">
        <v>322.33999999999997</v>
      </c>
      <c r="G41" s="110">
        <v>0.83973973073384955</v>
      </c>
      <c r="H41" s="110">
        <v>1.5741792710363818</v>
      </c>
      <c r="I41" s="110">
        <v>19331.080000000002</v>
      </c>
      <c r="J41" s="110">
        <v>415.72199999999998</v>
      </c>
      <c r="K41" s="110">
        <v>0.92324053436274234</v>
      </c>
      <c r="L41" s="110">
        <v>1.5118204553482222</v>
      </c>
      <c r="M41" s="110"/>
      <c r="N41" s="110"/>
      <c r="O41" s="110"/>
      <c r="P41" s="110">
        <v>70.111000000000004</v>
      </c>
      <c r="Q41" s="110"/>
      <c r="R41" s="110"/>
      <c r="S41" s="110"/>
      <c r="T41" s="110"/>
    </row>
    <row r="42" spans="1:20">
      <c r="A42" s="110" t="s">
        <v>44</v>
      </c>
      <c r="B42" s="110" t="s">
        <v>62</v>
      </c>
      <c r="C42" s="110">
        <v>12700</v>
      </c>
      <c r="D42" s="110">
        <v>26.269929999999999</v>
      </c>
      <c r="E42" s="110">
        <v>7142</v>
      </c>
      <c r="F42" s="110">
        <v>322.33999999999997</v>
      </c>
      <c r="G42" s="110">
        <v>0.83973973073384955</v>
      </c>
      <c r="H42" s="110">
        <v>1.5741792710363818</v>
      </c>
      <c r="I42" s="110">
        <v>19239.82</v>
      </c>
      <c r="J42" s="110">
        <v>415.36320000000001</v>
      </c>
      <c r="K42" s="110">
        <v>0.92259351192203465</v>
      </c>
      <c r="L42" s="110">
        <v>1.5118697371706651</v>
      </c>
      <c r="M42" s="110"/>
      <c r="N42" s="110"/>
      <c r="O42" s="110"/>
      <c r="P42" s="110">
        <v>70.470519999999993</v>
      </c>
      <c r="Q42" s="110"/>
      <c r="R42" s="110"/>
      <c r="S42" s="110"/>
      <c r="T42" s="110"/>
    </row>
    <row r="43" spans="1:20">
      <c r="A43" s="110" t="s">
        <v>44</v>
      </c>
      <c r="B43" s="110" t="s">
        <v>62</v>
      </c>
      <c r="C43" s="110">
        <v>12700</v>
      </c>
      <c r="D43" s="110">
        <v>26.269929999999999</v>
      </c>
      <c r="E43" s="110">
        <v>7142</v>
      </c>
      <c r="F43" s="110">
        <v>322.33999999999997</v>
      </c>
      <c r="G43" s="110">
        <v>0.83973973073384955</v>
      </c>
      <c r="H43" s="110">
        <v>1.5741792710363818</v>
      </c>
      <c r="I43" s="110">
        <v>18558.25</v>
      </c>
      <c r="J43" s="110">
        <v>412.7953</v>
      </c>
      <c r="K43" s="110">
        <v>0.9166636501479426</v>
      </c>
      <c r="L43" s="110">
        <v>1.5114857173817497</v>
      </c>
      <c r="M43" s="110"/>
      <c r="N43" s="110"/>
      <c r="O43" s="110"/>
      <c r="P43" s="110">
        <v>72.745090000000005</v>
      </c>
      <c r="Q43" s="110"/>
      <c r="R43" s="110"/>
      <c r="S43" s="110"/>
      <c r="T43" s="110"/>
    </row>
    <row r="44" spans="1:20">
      <c r="A44" s="110" t="s">
        <v>44</v>
      </c>
      <c r="B44" s="110" t="s">
        <v>62</v>
      </c>
      <c r="C44" s="110">
        <v>12700</v>
      </c>
      <c r="D44" s="110">
        <v>26.269929999999999</v>
      </c>
      <c r="E44" s="110">
        <v>7142</v>
      </c>
      <c r="F44" s="110">
        <v>322.33999999999997</v>
      </c>
      <c r="G44" s="110">
        <v>0.83973973073384955</v>
      </c>
      <c r="H44" s="110">
        <v>1.5741792710363818</v>
      </c>
      <c r="I44" s="110">
        <v>17546.719999999998</v>
      </c>
      <c r="J44" s="110">
        <v>409.09789999999998</v>
      </c>
      <c r="K44" s="110">
        <v>0.91306102533639777</v>
      </c>
      <c r="L44" s="110">
        <v>1.5105584850951281</v>
      </c>
      <c r="M44" s="110"/>
      <c r="N44" s="110"/>
      <c r="O44" s="110"/>
      <c r="P44" s="110">
        <v>75.518420000000006</v>
      </c>
      <c r="Q44" s="110"/>
      <c r="R44" s="110"/>
      <c r="S44" s="110"/>
      <c r="T44" s="110"/>
    </row>
    <row r="45" spans="1:20">
      <c r="A45" s="110" t="s">
        <v>44</v>
      </c>
      <c r="B45" s="110" t="s">
        <v>62</v>
      </c>
      <c r="C45" s="110">
        <v>12700</v>
      </c>
      <c r="D45" s="110">
        <v>26.269929999999999</v>
      </c>
      <c r="E45" s="110">
        <v>7142</v>
      </c>
      <c r="F45" s="110">
        <v>322.33999999999997</v>
      </c>
      <c r="G45" s="110">
        <v>0.83973973073384955</v>
      </c>
      <c r="H45" s="110">
        <v>1.5741792710363818</v>
      </c>
      <c r="I45" s="110">
        <v>16991.329999999998</v>
      </c>
      <c r="J45" s="110">
        <v>407.08190000000002</v>
      </c>
      <c r="K45" s="110">
        <v>0.91017238618338137</v>
      </c>
      <c r="L45" s="110">
        <v>1.5101834512506886</v>
      </c>
      <c r="M45" s="110"/>
      <c r="N45" s="110"/>
      <c r="O45" s="110"/>
      <c r="P45" s="110">
        <v>76.791210000000007</v>
      </c>
      <c r="Q45" s="110"/>
      <c r="R45" s="110"/>
      <c r="S45" s="110"/>
      <c r="T45" s="110"/>
    </row>
    <row r="46" spans="1:20">
      <c r="A46" s="110" t="s">
        <v>44</v>
      </c>
      <c r="B46" s="110" t="s">
        <v>62</v>
      </c>
      <c r="C46" s="110">
        <v>12700</v>
      </c>
      <c r="D46" s="110">
        <v>26.269929999999999</v>
      </c>
      <c r="E46" s="110">
        <v>7142</v>
      </c>
      <c r="F46" s="110">
        <v>322.33999999999997</v>
      </c>
      <c r="G46" s="110">
        <v>0.83973973073384955</v>
      </c>
      <c r="H46" s="110">
        <v>1.5741792710363818</v>
      </c>
      <c r="I46" s="110">
        <v>15770.9</v>
      </c>
      <c r="J46" s="110">
        <v>402.8372</v>
      </c>
      <c r="K46" s="110">
        <v>0.90557587454120181</v>
      </c>
      <c r="L46" s="110">
        <v>1.50490006052786</v>
      </c>
      <c r="M46" s="110"/>
      <c r="N46" s="110"/>
      <c r="O46" s="110"/>
      <c r="P46" s="110">
        <v>78.773859999999999</v>
      </c>
      <c r="Q46" s="110"/>
      <c r="R46" s="110"/>
      <c r="S46" s="110"/>
      <c r="T46" s="110"/>
    </row>
    <row r="47" spans="1:20">
      <c r="A47" s="110" t="s">
        <v>44</v>
      </c>
      <c r="B47" s="110" t="s">
        <v>62</v>
      </c>
      <c r="C47" s="110">
        <v>12700</v>
      </c>
      <c r="D47" s="110">
        <v>26.269929999999999</v>
      </c>
      <c r="E47" s="110">
        <v>7142</v>
      </c>
      <c r="F47" s="110">
        <v>322.33999999999997</v>
      </c>
      <c r="G47" s="110">
        <v>0.83973973073384955</v>
      </c>
      <c r="H47" s="110">
        <v>1.5741792710363818</v>
      </c>
      <c r="I47" s="110">
        <v>15350.61</v>
      </c>
      <c r="J47" s="110">
        <v>401.39710000000002</v>
      </c>
      <c r="K47" s="110">
        <v>0.90438778001889175</v>
      </c>
      <c r="L47" s="110">
        <v>1.5049071047981701</v>
      </c>
      <c r="M47" s="110"/>
      <c r="N47" s="110"/>
      <c r="O47" s="110"/>
      <c r="P47" s="110">
        <v>79.331969999999998</v>
      </c>
      <c r="Q47" s="110"/>
      <c r="R47" s="110"/>
      <c r="S47" s="110"/>
      <c r="T47" s="110"/>
    </row>
    <row r="48" spans="1:20">
      <c r="A48" s="110" t="s">
        <v>44</v>
      </c>
      <c r="B48" s="110" t="s">
        <v>62</v>
      </c>
      <c r="C48" s="110">
        <v>12700</v>
      </c>
      <c r="D48" s="110">
        <v>26.269929999999999</v>
      </c>
      <c r="E48" s="110">
        <v>7142</v>
      </c>
      <c r="F48" s="110">
        <v>322.33999999999997</v>
      </c>
      <c r="G48" s="110">
        <v>0.83973973073384955</v>
      </c>
      <c r="H48" s="110">
        <v>1.5741792710363818</v>
      </c>
      <c r="I48" s="110">
        <v>14480.59</v>
      </c>
      <c r="J48" s="110">
        <v>398.30779999999999</v>
      </c>
      <c r="K48" s="110">
        <v>0.90018646272431213</v>
      </c>
      <c r="L48" s="110">
        <v>1.4942445617561948</v>
      </c>
      <c r="M48" s="110"/>
      <c r="N48" s="110"/>
      <c r="O48" s="110"/>
      <c r="P48" s="110">
        <v>80.442920000000001</v>
      </c>
      <c r="Q48" s="110"/>
      <c r="R48" s="110"/>
      <c r="S48" s="110"/>
      <c r="T48" s="110"/>
    </row>
    <row r="49" spans="1:20">
      <c r="A49" s="110" t="s">
        <v>44</v>
      </c>
      <c r="B49" s="110" t="s">
        <v>62</v>
      </c>
      <c r="C49" s="110">
        <v>12700</v>
      </c>
      <c r="D49" s="110">
        <v>26.269929999999999</v>
      </c>
      <c r="E49" s="110">
        <v>7142</v>
      </c>
      <c r="F49" s="110">
        <v>322.33999999999997</v>
      </c>
      <c r="G49" s="110">
        <v>0.83973973073384955</v>
      </c>
      <c r="H49" s="110">
        <v>1.5741792710363818</v>
      </c>
      <c r="I49" s="110">
        <v>13875.83</v>
      </c>
      <c r="J49" s="110">
        <v>396.08080000000001</v>
      </c>
      <c r="K49" s="110">
        <v>0.90081182928111836</v>
      </c>
      <c r="L49" s="110">
        <v>1.4945928572610987</v>
      </c>
      <c r="M49" s="110"/>
      <c r="N49" s="110"/>
      <c r="O49" s="110"/>
      <c r="P49" s="110">
        <v>81.12988</v>
      </c>
      <c r="Q49" s="110"/>
      <c r="R49" s="110"/>
      <c r="S49" s="110"/>
      <c r="T49" s="110"/>
    </row>
    <row r="50" spans="1:20">
      <c r="A50" s="110" t="s">
        <v>44</v>
      </c>
      <c r="B50" s="110" t="s">
        <v>62</v>
      </c>
      <c r="C50" s="110">
        <v>12700</v>
      </c>
      <c r="D50" s="110">
        <v>26.269929999999999</v>
      </c>
      <c r="E50" s="110">
        <v>7142</v>
      </c>
      <c r="F50" s="110">
        <v>322.33999999999997</v>
      </c>
      <c r="G50" s="110">
        <v>0.83973973073384955</v>
      </c>
      <c r="H50" s="110">
        <v>1.5741792710363818</v>
      </c>
      <c r="I50" s="110">
        <v>12815.64</v>
      </c>
      <c r="J50" s="110">
        <v>392.11399999999998</v>
      </c>
      <c r="K50" s="110">
        <v>0.89812108897898002</v>
      </c>
      <c r="L50" s="110">
        <v>1.4808617175033452</v>
      </c>
      <c r="M50" s="110"/>
      <c r="N50" s="110"/>
      <c r="O50" s="110"/>
      <c r="P50" s="110">
        <v>82.143810000000002</v>
      </c>
      <c r="Q50" s="110"/>
      <c r="R50" s="110"/>
      <c r="S50" s="110"/>
      <c r="T50" s="110"/>
    </row>
    <row r="51" spans="1:20">
      <c r="A51" s="110" t="s">
        <v>44</v>
      </c>
      <c r="B51" s="110" t="s">
        <v>62</v>
      </c>
      <c r="C51" s="110">
        <v>12065</v>
      </c>
      <c r="D51" s="110">
        <v>26.269929999999999</v>
      </c>
      <c r="E51" s="110">
        <v>7142</v>
      </c>
      <c r="F51" s="110">
        <v>322.33999999999997</v>
      </c>
      <c r="G51" s="110">
        <v>0.83973973073384955</v>
      </c>
      <c r="H51" s="110">
        <v>1.5741792710363818</v>
      </c>
      <c r="I51" s="110">
        <v>20686.43</v>
      </c>
      <c r="J51" s="110">
        <v>423.45769999999999</v>
      </c>
      <c r="K51" s="110">
        <v>0.93314719881007446</v>
      </c>
      <c r="L51" s="110">
        <v>1.4990160810081772</v>
      </c>
      <c r="M51" s="110"/>
      <c r="N51" s="110"/>
      <c r="O51" s="110"/>
      <c r="P51" s="110">
        <v>42.51558</v>
      </c>
      <c r="Q51" s="110"/>
      <c r="R51" s="110"/>
      <c r="S51" s="110"/>
      <c r="T51" s="110"/>
    </row>
    <row r="52" spans="1:20">
      <c r="A52" s="110" t="s">
        <v>44</v>
      </c>
      <c r="B52" s="110" t="s">
        <v>62</v>
      </c>
      <c r="C52" s="110">
        <v>12065</v>
      </c>
      <c r="D52" s="110">
        <v>26.269929999999999</v>
      </c>
      <c r="E52" s="110">
        <v>7142</v>
      </c>
      <c r="F52" s="110">
        <v>322.33999999999997</v>
      </c>
      <c r="G52" s="110">
        <v>0.83973973073384955</v>
      </c>
      <c r="H52" s="110">
        <v>1.5741792710363818</v>
      </c>
      <c r="I52" s="110">
        <v>20633.23</v>
      </c>
      <c r="J52" s="110">
        <v>423.02350000000001</v>
      </c>
      <c r="K52" s="110">
        <v>0.93226143742797662</v>
      </c>
      <c r="L52" s="110">
        <v>1.4996531762886978</v>
      </c>
      <c r="M52" s="110"/>
      <c r="N52" s="110"/>
      <c r="O52" s="110"/>
      <c r="P52" s="110">
        <v>43.289200000000001</v>
      </c>
      <c r="Q52" s="110"/>
      <c r="R52" s="110"/>
      <c r="S52" s="110"/>
      <c r="T52" s="110"/>
    </row>
    <row r="53" spans="1:20">
      <c r="A53" s="110" t="s">
        <v>44</v>
      </c>
      <c r="B53" s="110" t="s">
        <v>62</v>
      </c>
      <c r="C53" s="110">
        <v>12065</v>
      </c>
      <c r="D53" s="110">
        <v>26.269929999999999</v>
      </c>
      <c r="E53" s="110">
        <v>7142</v>
      </c>
      <c r="F53" s="110">
        <v>322.33999999999997</v>
      </c>
      <c r="G53" s="110">
        <v>0.83973973073384955</v>
      </c>
      <c r="H53" s="110">
        <v>1.5741792710363818</v>
      </c>
      <c r="I53" s="110">
        <v>20618.510000000002</v>
      </c>
      <c r="J53" s="110">
        <v>422.9076</v>
      </c>
      <c r="K53" s="110">
        <v>0.93201970351787755</v>
      </c>
      <c r="L53" s="110">
        <v>1.4998156462682866</v>
      </c>
      <c r="M53" s="110"/>
      <c r="N53" s="110"/>
      <c r="O53" s="110"/>
      <c r="P53" s="110">
        <v>43.493229999999997</v>
      </c>
      <c r="Q53" s="110"/>
      <c r="R53" s="110"/>
      <c r="S53" s="110"/>
      <c r="T53" s="110"/>
    </row>
    <row r="54" spans="1:20">
      <c r="A54" s="110" t="s">
        <v>44</v>
      </c>
      <c r="B54" s="110" t="s">
        <v>62</v>
      </c>
      <c r="C54" s="110">
        <v>12065</v>
      </c>
      <c r="D54" s="110">
        <v>26.269929999999999</v>
      </c>
      <c r="E54" s="110">
        <v>7142</v>
      </c>
      <c r="F54" s="110">
        <v>322.33999999999997</v>
      </c>
      <c r="G54" s="110">
        <v>0.83973973073384955</v>
      </c>
      <c r="H54" s="110">
        <v>1.5741792710363818</v>
      </c>
      <c r="I54" s="110">
        <v>20418.27</v>
      </c>
      <c r="J54" s="110">
        <v>421.38979999999998</v>
      </c>
      <c r="K54" s="110">
        <v>0.92935595283946359</v>
      </c>
      <c r="L54" s="110">
        <v>1.5063342408493092</v>
      </c>
      <c r="M54" s="110"/>
      <c r="N54" s="110"/>
      <c r="O54" s="110"/>
      <c r="P54" s="110">
        <v>46.095350000000003</v>
      </c>
      <c r="Q54" s="110"/>
      <c r="R54" s="110"/>
      <c r="S54" s="110"/>
      <c r="T54" s="110"/>
    </row>
    <row r="55" spans="1:20">
      <c r="A55" s="110" t="s">
        <v>44</v>
      </c>
      <c r="B55" s="110" t="s">
        <v>62</v>
      </c>
      <c r="C55" s="110">
        <v>12065</v>
      </c>
      <c r="D55" s="110">
        <v>26.269929999999999</v>
      </c>
      <c r="E55" s="110">
        <v>7142</v>
      </c>
      <c r="F55" s="110">
        <v>322.33999999999997</v>
      </c>
      <c r="G55" s="110">
        <v>0.83973973073384955</v>
      </c>
      <c r="H55" s="110">
        <v>1.5741792710363818</v>
      </c>
      <c r="I55" s="110">
        <v>20004.21</v>
      </c>
      <c r="J55" s="110">
        <v>418.60890000000001</v>
      </c>
      <c r="K55" s="110">
        <v>0.92690445097953489</v>
      </c>
      <c r="L55" s="110">
        <v>1.5106681570070866</v>
      </c>
      <c r="M55" s="110"/>
      <c r="N55" s="110"/>
      <c r="O55" s="110"/>
      <c r="P55" s="110">
        <v>50.372459999999997</v>
      </c>
      <c r="Q55" s="110"/>
      <c r="R55" s="110"/>
      <c r="S55" s="110"/>
      <c r="T55" s="110"/>
    </row>
    <row r="56" spans="1:20">
      <c r="A56" s="110" t="s">
        <v>44</v>
      </c>
      <c r="B56" s="110" t="s">
        <v>62</v>
      </c>
      <c r="C56" s="110">
        <v>12065</v>
      </c>
      <c r="D56" s="110">
        <v>26.269929999999999</v>
      </c>
      <c r="E56" s="110">
        <v>7142</v>
      </c>
      <c r="F56" s="110">
        <v>322.33999999999997</v>
      </c>
      <c r="G56" s="110">
        <v>0.83973973073384955</v>
      </c>
      <c r="H56" s="110">
        <v>1.5741792710363818</v>
      </c>
      <c r="I56" s="110">
        <v>19433.47</v>
      </c>
      <c r="J56" s="110">
        <v>415.35840000000002</v>
      </c>
      <c r="K56" s="110">
        <v>0.92287406092935587</v>
      </c>
      <c r="L56" s="110">
        <v>1.5143686529910716</v>
      </c>
      <c r="M56" s="110"/>
      <c r="N56" s="110"/>
      <c r="O56" s="110"/>
      <c r="P56" s="110">
        <v>55.279850000000003</v>
      </c>
      <c r="Q56" s="110"/>
      <c r="R56" s="110"/>
      <c r="S56" s="110"/>
      <c r="T56" s="110"/>
    </row>
    <row r="57" spans="1:20">
      <c r="A57" s="110" t="s">
        <v>44</v>
      </c>
      <c r="B57" s="110" t="s">
        <v>62</v>
      </c>
      <c r="C57" s="110">
        <v>12065</v>
      </c>
      <c r="D57" s="110">
        <v>26.269929999999999</v>
      </c>
      <c r="E57" s="110">
        <v>7142</v>
      </c>
      <c r="F57" s="110">
        <v>322.33999999999997</v>
      </c>
      <c r="G57" s="110">
        <v>0.83973973073384955</v>
      </c>
      <c r="H57" s="110">
        <v>1.5741792710363818</v>
      </c>
      <c r="I57" s="110">
        <v>19197.27</v>
      </c>
      <c r="J57" s="110">
        <v>414.13389999999998</v>
      </c>
      <c r="K57" s="110">
        <v>0.92082582695239068</v>
      </c>
      <c r="L57" s="110">
        <v>1.5154985331221913</v>
      </c>
      <c r="M57" s="110"/>
      <c r="N57" s="110"/>
      <c r="O57" s="110"/>
      <c r="P57" s="110">
        <v>57.032589999999999</v>
      </c>
      <c r="Q57" s="110"/>
      <c r="R57" s="110"/>
      <c r="S57" s="110"/>
      <c r="T57" s="110"/>
    </row>
    <row r="58" spans="1:20">
      <c r="A58" s="110" t="s">
        <v>44</v>
      </c>
      <c r="B58" s="110" t="s">
        <v>62</v>
      </c>
      <c r="C58" s="110">
        <v>12065</v>
      </c>
      <c r="D58" s="110">
        <v>26.269929999999999</v>
      </c>
      <c r="E58" s="110">
        <v>7142</v>
      </c>
      <c r="F58" s="110">
        <v>322.33999999999997</v>
      </c>
      <c r="G58" s="110">
        <v>0.83973973073384955</v>
      </c>
      <c r="H58" s="110">
        <v>1.5741792710363818</v>
      </c>
      <c r="I58" s="110">
        <v>19038.89</v>
      </c>
      <c r="J58" s="110">
        <v>413.3528</v>
      </c>
      <c r="K58" s="110">
        <v>0.91935760777943731</v>
      </c>
      <c r="L58" s="110">
        <v>1.516069946559772</v>
      </c>
      <c r="M58" s="110"/>
      <c r="N58" s="110"/>
      <c r="O58" s="110"/>
      <c r="P58" s="110">
        <v>58.088230000000003</v>
      </c>
      <c r="Q58" s="110"/>
      <c r="R58" s="110"/>
      <c r="S58" s="110"/>
      <c r="T58" s="110"/>
    </row>
    <row r="59" spans="1:20">
      <c r="A59" s="110" t="s">
        <v>44</v>
      </c>
      <c r="B59" s="110" t="s">
        <v>62</v>
      </c>
      <c r="C59" s="110">
        <v>12065</v>
      </c>
      <c r="D59" s="110">
        <v>26.269929999999999</v>
      </c>
      <c r="E59" s="110">
        <v>7142</v>
      </c>
      <c r="F59" s="110">
        <v>322.33999999999997</v>
      </c>
      <c r="G59" s="110">
        <v>0.83973973073384955</v>
      </c>
      <c r="H59" s="110">
        <v>1.5741792710363818</v>
      </c>
      <c r="I59" s="110">
        <v>18467.810000000001</v>
      </c>
      <c r="J59" s="110">
        <v>410.76960000000003</v>
      </c>
      <c r="K59" s="110">
        <v>0.9133953587910203</v>
      </c>
      <c r="L59" s="110">
        <v>1.5170376769447689</v>
      </c>
      <c r="M59" s="110"/>
      <c r="N59" s="110"/>
      <c r="O59" s="110"/>
      <c r="P59" s="110">
        <v>61.228290000000001</v>
      </c>
      <c r="Q59" s="110"/>
      <c r="R59" s="110"/>
      <c r="S59" s="110"/>
      <c r="T59" s="110"/>
    </row>
    <row r="60" spans="1:20">
      <c r="A60" s="110" t="s">
        <v>44</v>
      </c>
      <c r="B60" s="110" t="s">
        <v>62</v>
      </c>
      <c r="C60" s="110">
        <v>12065</v>
      </c>
      <c r="D60" s="110">
        <v>26.269929999999999</v>
      </c>
      <c r="E60" s="110">
        <v>7142</v>
      </c>
      <c r="F60" s="110">
        <v>322.33999999999997</v>
      </c>
      <c r="G60" s="110">
        <v>0.83973973073384955</v>
      </c>
      <c r="H60" s="110">
        <v>1.5741792710363818</v>
      </c>
      <c r="I60" s="110">
        <v>18250.669999999998</v>
      </c>
      <c r="J60" s="110">
        <v>409.79689999999999</v>
      </c>
      <c r="K60" s="110">
        <v>0.91152088872198878</v>
      </c>
      <c r="L60" s="110">
        <v>1.5171594672985871</v>
      </c>
      <c r="M60" s="110"/>
      <c r="N60" s="110"/>
      <c r="O60" s="110"/>
      <c r="P60" s="110">
        <v>62.34628</v>
      </c>
      <c r="Q60" s="110"/>
      <c r="R60" s="110"/>
      <c r="S60" s="110"/>
      <c r="T60" s="110"/>
    </row>
    <row r="61" spans="1:20">
      <c r="A61" s="110" t="s">
        <v>44</v>
      </c>
      <c r="B61" s="110" t="s">
        <v>62</v>
      </c>
      <c r="C61" s="110">
        <v>12065</v>
      </c>
      <c r="D61" s="110">
        <v>26.269929999999999</v>
      </c>
      <c r="E61" s="110">
        <v>7142</v>
      </c>
      <c r="F61" s="110">
        <v>322.33999999999997</v>
      </c>
      <c r="G61" s="110">
        <v>0.83973973073384955</v>
      </c>
      <c r="H61" s="110">
        <v>1.5741792710363818</v>
      </c>
      <c r="I61" s="110">
        <v>17456.989999999998</v>
      </c>
      <c r="J61" s="110">
        <v>406.28879999999998</v>
      </c>
      <c r="K61" s="110">
        <v>0.90930242840548836</v>
      </c>
      <c r="L61" s="110">
        <v>1.519462461286061</v>
      </c>
      <c r="M61" s="110"/>
      <c r="N61" s="110"/>
      <c r="O61" s="110"/>
      <c r="P61" s="110">
        <v>66.061899999999994</v>
      </c>
      <c r="Q61" s="110"/>
      <c r="R61" s="110"/>
      <c r="S61" s="110"/>
      <c r="T61" s="110"/>
    </row>
    <row r="62" spans="1:20">
      <c r="A62" s="110" t="s">
        <v>44</v>
      </c>
      <c r="B62" s="110" t="s">
        <v>62</v>
      </c>
      <c r="C62" s="110">
        <v>12065</v>
      </c>
      <c r="D62" s="110">
        <v>26.269929999999999</v>
      </c>
      <c r="E62" s="110">
        <v>7142</v>
      </c>
      <c r="F62" s="110">
        <v>322.33999999999997</v>
      </c>
      <c r="G62" s="110">
        <v>0.83973973073384955</v>
      </c>
      <c r="H62" s="110">
        <v>1.5741792710363818</v>
      </c>
      <c r="I62" s="110">
        <v>16990.580000000002</v>
      </c>
      <c r="J62" s="110">
        <v>404.36529999999999</v>
      </c>
      <c r="K62" s="110">
        <v>0.90636075117256731</v>
      </c>
      <c r="L62" s="110">
        <v>1.5198950550998616</v>
      </c>
      <c r="M62" s="110"/>
      <c r="N62" s="110"/>
      <c r="O62" s="110"/>
      <c r="P62" s="110">
        <v>67.782579999999996</v>
      </c>
      <c r="Q62" s="110"/>
      <c r="R62" s="110"/>
      <c r="S62" s="110"/>
      <c r="T62" s="110"/>
    </row>
    <row r="63" spans="1:20">
      <c r="A63" s="110" t="s">
        <v>44</v>
      </c>
      <c r="B63" s="110" t="s">
        <v>62</v>
      </c>
      <c r="C63" s="110">
        <v>12065</v>
      </c>
      <c r="D63" s="110">
        <v>26.269929999999999</v>
      </c>
      <c r="E63" s="110">
        <v>7142</v>
      </c>
      <c r="F63" s="110">
        <v>322.33999999999997</v>
      </c>
      <c r="G63" s="110">
        <v>0.83973973073384955</v>
      </c>
      <c r="H63" s="110">
        <v>1.5741792710363818</v>
      </c>
      <c r="I63" s="110">
        <v>16125.82</v>
      </c>
      <c r="J63" s="110">
        <v>400.98419999999999</v>
      </c>
      <c r="K63" s="110">
        <v>0.90108358566763957</v>
      </c>
      <c r="L63" s="110">
        <v>1.5142017762720337</v>
      </c>
      <c r="M63" s="110"/>
      <c r="N63" s="110"/>
      <c r="O63" s="110"/>
      <c r="P63" s="110">
        <v>70.297120000000007</v>
      </c>
      <c r="Q63" s="110"/>
      <c r="R63" s="110"/>
      <c r="S63" s="110"/>
      <c r="T63" s="110"/>
    </row>
    <row r="64" spans="1:20">
      <c r="A64" s="110" t="s">
        <v>44</v>
      </c>
      <c r="B64" s="110" t="s">
        <v>62</v>
      </c>
      <c r="C64" s="110">
        <v>12065</v>
      </c>
      <c r="D64" s="110">
        <v>26.269929999999999</v>
      </c>
      <c r="E64" s="110">
        <v>7142</v>
      </c>
      <c r="F64" s="110">
        <v>322.33999999999997</v>
      </c>
      <c r="G64" s="110">
        <v>0.83973973073384955</v>
      </c>
      <c r="H64" s="110">
        <v>1.5741792710363818</v>
      </c>
      <c r="I64" s="110">
        <v>15708.81</v>
      </c>
      <c r="J64" s="110">
        <v>399.40480000000002</v>
      </c>
      <c r="K64" s="110">
        <v>0.90082880075383331</v>
      </c>
      <c r="L64" s="110">
        <v>1.5146133226413214</v>
      </c>
      <c r="M64" s="110"/>
      <c r="N64" s="110"/>
      <c r="O64" s="110"/>
      <c r="P64" s="110">
        <v>71.3125</v>
      </c>
      <c r="Q64" s="110"/>
      <c r="R64" s="110"/>
      <c r="S64" s="110"/>
      <c r="T64" s="110"/>
    </row>
    <row r="65" spans="1:20">
      <c r="A65" s="110" t="s">
        <v>44</v>
      </c>
      <c r="B65" s="110" t="s">
        <v>62</v>
      </c>
      <c r="C65" s="110">
        <v>12065</v>
      </c>
      <c r="D65" s="110">
        <v>26.269929999999999</v>
      </c>
      <c r="E65" s="110">
        <v>7142</v>
      </c>
      <c r="F65" s="110">
        <v>322.33999999999997</v>
      </c>
      <c r="G65" s="110">
        <v>0.83973973073384955</v>
      </c>
      <c r="H65" s="110">
        <v>1.5741792710363818</v>
      </c>
      <c r="I65" s="110">
        <v>14853.31</v>
      </c>
      <c r="J65" s="110">
        <v>396.16489999999999</v>
      </c>
      <c r="K65" s="110">
        <v>0.89623954868599021</v>
      </c>
      <c r="L65" s="110">
        <v>1.5153953961034092</v>
      </c>
      <c r="M65" s="110"/>
      <c r="N65" s="110"/>
      <c r="O65" s="110"/>
      <c r="P65" s="110">
        <v>73.114090000000004</v>
      </c>
      <c r="Q65" s="110"/>
      <c r="R65" s="110"/>
      <c r="S65" s="110"/>
      <c r="T65" s="110"/>
    </row>
    <row r="66" spans="1:20">
      <c r="A66" s="110" t="s">
        <v>44</v>
      </c>
      <c r="B66" s="110" t="s">
        <v>62</v>
      </c>
      <c r="C66" s="110">
        <v>12065</v>
      </c>
      <c r="D66" s="110">
        <v>26.269929999999999</v>
      </c>
      <c r="E66" s="110">
        <v>7142</v>
      </c>
      <c r="F66" s="110">
        <v>322.33999999999997</v>
      </c>
      <c r="G66" s="110">
        <v>0.83973973073384955</v>
      </c>
      <c r="H66" s="110">
        <v>1.5741792710363818</v>
      </c>
      <c r="I66" s="110">
        <v>14354.159999999998</v>
      </c>
      <c r="J66" s="110">
        <v>394.27339999999998</v>
      </c>
      <c r="K66" s="110">
        <v>0.89551954695170943</v>
      </c>
      <c r="L66" s="110">
        <v>1.5067769876536981</v>
      </c>
      <c r="M66" s="110"/>
      <c r="N66" s="110"/>
      <c r="O66" s="110"/>
      <c r="P66" s="110">
        <v>73.960909999999998</v>
      </c>
      <c r="Q66" s="110"/>
      <c r="R66" s="110"/>
      <c r="S66" s="110"/>
      <c r="T66" s="110"/>
    </row>
    <row r="67" spans="1:20">
      <c r="A67" s="110" t="s">
        <v>44</v>
      </c>
      <c r="B67" s="110" t="s">
        <v>62</v>
      </c>
      <c r="C67" s="110">
        <v>12065</v>
      </c>
      <c r="D67" s="110">
        <v>26.269929999999999</v>
      </c>
      <c r="E67" s="110">
        <v>7142</v>
      </c>
      <c r="F67" s="110">
        <v>322.33999999999997</v>
      </c>
      <c r="G67" s="110">
        <v>0.83973973073384955</v>
      </c>
      <c r="H67" s="110">
        <v>1.5741792710363818</v>
      </c>
      <c r="I67" s="110">
        <v>13462.75</v>
      </c>
      <c r="J67" s="110">
        <v>390.8768</v>
      </c>
      <c r="K67" s="110">
        <v>0.89378704535012987</v>
      </c>
      <c r="L67" s="110">
        <v>1.5079690081841106</v>
      </c>
      <c r="M67" s="110"/>
      <c r="N67" s="110"/>
      <c r="O67" s="110"/>
      <c r="P67" s="110">
        <v>75.186390000000003</v>
      </c>
      <c r="Q67" s="110"/>
      <c r="R67" s="110"/>
      <c r="S67" s="110"/>
      <c r="T67" s="110"/>
    </row>
    <row r="68" spans="1:20">
      <c r="A68" s="110" t="s">
        <v>44</v>
      </c>
      <c r="B68" s="110" t="s">
        <v>62</v>
      </c>
      <c r="C68" s="110">
        <v>12065</v>
      </c>
      <c r="D68" s="110">
        <v>26.269929999999999</v>
      </c>
      <c r="E68" s="110">
        <v>7142</v>
      </c>
      <c r="F68" s="110">
        <v>322.33999999999997</v>
      </c>
      <c r="G68" s="110">
        <v>0.83973973073384955</v>
      </c>
      <c r="H68" s="110">
        <v>1.5741792710363818</v>
      </c>
      <c r="I68" s="110">
        <v>13047.999999999998</v>
      </c>
      <c r="J68" s="110">
        <v>389.27870000000001</v>
      </c>
      <c r="K68" s="110">
        <v>0.89137920937295179</v>
      </c>
      <c r="L68" s="110">
        <v>1.4933951841336146</v>
      </c>
      <c r="M68" s="110"/>
      <c r="N68" s="110"/>
      <c r="O68" s="110"/>
      <c r="P68" s="110">
        <v>75.700919999999996</v>
      </c>
      <c r="Q68" s="110"/>
      <c r="R68" s="110"/>
      <c r="S68" s="110"/>
      <c r="T68" s="110"/>
    </row>
    <row r="69" spans="1:20">
      <c r="A69" s="110" t="s">
        <v>44</v>
      </c>
      <c r="B69" s="110" t="s">
        <v>62</v>
      </c>
      <c r="C69" s="110">
        <v>12065</v>
      </c>
      <c r="D69" s="110">
        <v>26.269929999999999</v>
      </c>
      <c r="E69" s="110">
        <v>7142</v>
      </c>
      <c r="F69" s="110">
        <v>322.33999999999997</v>
      </c>
      <c r="G69" s="110">
        <v>0.83973973073384955</v>
      </c>
      <c r="H69" s="110">
        <v>1.5741792710363818</v>
      </c>
      <c r="I69" s="110">
        <v>12196.19</v>
      </c>
      <c r="J69" s="110">
        <v>385.92079999999999</v>
      </c>
      <c r="K69" s="110">
        <v>0.8930377234052197</v>
      </c>
      <c r="L69" s="110">
        <v>1.495073010433595</v>
      </c>
      <c r="M69" s="110"/>
      <c r="N69" s="110"/>
      <c r="O69" s="110"/>
      <c r="P69" s="110">
        <v>76.702460000000002</v>
      </c>
      <c r="Q69" s="110"/>
      <c r="R69" s="110"/>
      <c r="S69" s="110"/>
      <c r="T69" s="110"/>
    </row>
    <row r="70" spans="1:20">
      <c r="A70" s="110" t="s">
        <v>44</v>
      </c>
      <c r="B70" s="110" t="s">
        <v>62</v>
      </c>
      <c r="C70" s="110">
        <v>12065</v>
      </c>
      <c r="D70" s="110">
        <v>26.269929999999999</v>
      </c>
      <c r="E70" s="110">
        <v>7142</v>
      </c>
      <c r="F70" s="110">
        <v>322.33999999999997</v>
      </c>
      <c r="G70" s="110">
        <v>0.83973973073384955</v>
      </c>
      <c r="H70" s="110">
        <v>1.5741792710363818</v>
      </c>
      <c r="I70" s="110">
        <v>11695.85</v>
      </c>
      <c r="J70" s="110">
        <v>383.89569999999998</v>
      </c>
      <c r="K70" s="110">
        <v>0.89036301058506795</v>
      </c>
      <c r="L70" s="110">
        <v>1.4799042366499344</v>
      </c>
      <c r="M70" s="110"/>
      <c r="N70" s="110"/>
      <c r="O70" s="110"/>
      <c r="P70" s="110">
        <v>77.245890000000003</v>
      </c>
      <c r="Q70" s="110"/>
      <c r="R70" s="110"/>
      <c r="S70" s="110"/>
      <c r="T70" s="110"/>
    </row>
    <row r="71" spans="1:20">
      <c r="A71" s="110" t="s">
        <v>44</v>
      </c>
      <c r="B71" s="110" t="s">
        <v>62</v>
      </c>
      <c r="C71" s="110">
        <v>11430</v>
      </c>
      <c r="D71" s="110">
        <v>26.269929999999999</v>
      </c>
      <c r="E71" s="110">
        <v>7142</v>
      </c>
      <c r="F71" s="110">
        <v>322.33999999999997</v>
      </c>
      <c r="G71" s="110">
        <v>0.83973973073384955</v>
      </c>
      <c r="H71" s="110">
        <v>1.5741792710363818</v>
      </c>
      <c r="I71" s="110">
        <v>18892.060000000001</v>
      </c>
      <c r="J71" s="110">
        <v>414.9</v>
      </c>
      <c r="K71" s="110">
        <v>0.92099797873940337</v>
      </c>
      <c r="L71" s="110">
        <v>1.508880174389708</v>
      </c>
      <c r="M71" s="110"/>
      <c r="N71" s="110"/>
      <c r="O71" s="110"/>
      <c r="P71" s="110">
        <v>38.224220000000003</v>
      </c>
      <c r="Q71" s="110"/>
      <c r="R71" s="110"/>
      <c r="S71" s="110"/>
      <c r="T71" s="110"/>
    </row>
    <row r="72" spans="1:20">
      <c r="A72" s="110" t="s">
        <v>44</v>
      </c>
      <c r="B72" s="110" t="s">
        <v>62</v>
      </c>
      <c r="C72" s="110">
        <v>11430</v>
      </c>
      <c r="D72" s="110">
        <v>26.269929999999999</v>
      </c>
      <c r="E72" s="110">
        <v>7142</v>
      </c>
      <c r="F72" s="110">
        <v>322.33999999999997</v>
      </c>
      <c r="G72" s="110">
        <v>0.83973973073384955</v>
      </c>
      <c r="H72" s="110">
        <v>1.5741792710363818</v>
      </c>
      <c r="I72" s="110">
        <v>18802.48</v>
      </c>
      <c r="J72" s="110">
        <v>414.06920000000002</v>
      </c>
      <c r="K72" s="110">
        <v>0.91952457770611129</v>
      </c>
      <c r="L72" s="110">
        <v>1.5104995975060189</v>
      </c>
      <c r="M72" s="110"/>
      <c r="N72" s="110"/>
      <c r="O72" s="110"/>
      <c r="P72" s="110">
        <v>39.712470000000003</v>
      </c>
      <c r="Q72" s="110"/>
      <c r="R72" s="110"/>
      <c r="S72" s="110"/>
      <c r="T72" s="110"/>
    </row>
    <row r="73" spans="1:20">
      <c r="A73" s="110" t="s">
        <v>44</v>
      </c>
      <c r="B73" s="110" t="s">
        <v>62</v>
      </c>
      <c r="C73" s="110">
        <v>11430</v>
      </c>
      <c r="D73" s="110">
        <v>26.269929999999999</v>
      </c>
      <c r="E73" s="110">
        <v>7142</v>
      </c>
      <c r="F73" s="110">
        <v>322.33999999999997</v>
      </c>
      <c r="G73" s="110">
        <v>0.83973973073384955</v>
      </c>
      <c r="H73" s="110">
        <v>1.5741792710363818</v>
      </c>
      <c r="I73" s="110">
        <v>18709.530000000002</v>
      </c>
      <c r="J73" s="110">
        <v>413.2808</v>
      </c>
      <c r="K73" s="110">
        <v>0.91805408753556728</v>
      </c>
      <c r="L73" s="110">
        <v>1.5119106687333128</v>
      </c>
      <c r="M73" s="110"/>
      <c r="N73" s="110"/>
      <c r="O73" s="110"/>
      <c r="P73" s="110">
        <v>41.074210000000001</v>
      </c>
      <c r="Q73" s="110"/>
      <c r="R73" s="110"/>
      <c r="S73" s="110"/>
      <c r="T73" s="110"/>
    </row>
    <row r="74" spans="1:20">
      <c r="A74" s="110" t="s">
        <v>44</v>
      </c>
      <c r="B74" s="110" t="s">
        <v>62</v>
      </c>
      <c r="C74" s="110">
        <v>11430</v>
      </c>
      <c r="D74" s="110">
        <v>26.269929999999999</v>
      </c>
      <c r="E74" s="110">
        <v>7142</v>
      </c>
      <c r="F74" s="110">
        <v>322.33999999999997</v>
      </c>
      <c r="G74" s="110">
        <v>0.83973973073384955</v>
      </c>
      <c r="H74" s="110">
        <v>1.5741792710363818</v>
      </c>
      <c r="I74" s="110">
        <v>18520.59</v>
      </c>
      <c r="J74" s="110">
        <v>411.8297</v>
      </c>
      <c r="K74" s="110">
        <v>0.91514214063632371</v>
      </c>
      <c r="L74" s="110">
        <v>1.514214430877445</v>
      </c>
      <c r="M74" s="110"/>
      <c r="N74" s="110"/>
      <c r="O74" s="110"/>
      <c r="P74" s="110">
        <v>43.474989999999998</v>
      </c>
      <c r="Q74" s="110"/>
      <c r="R74" s="110"/>
      <c r="S74" s="110"/>
      <c r="T74" s="110"/>
    </row>
    <row r="75" spans="1:20">
      <c r="A75" s="110" t="s">
        <v>44</v>
      </c>
      <c r="B75" s="110" t="s">
        <v>62</v>
      </c>
      <c r="C75" s="110">
        <v>11430</v>
      </c>
      <c r="D75" s="110">
        <v>26.269929999999999</v>
      </c>
      <c r="E75" s="110">
        <v>7142</v>
      </c>
      <c r="F75" s="110">
        <v>322.33999999999997</v>
      </c>
      <c r="G75" s="110">
        <v>0.83973973073384955</v>
      </c>
      <c r="H75" s="110">
        <v>1.5741792710363818</v>
      </c>
      <c r="I75" s="110">
        <v>18150.07</v>
      </c>
      <c r="J75" s="110">
        <v>409.28300000000002</v>
      </c>
      <c r="K75" s="110">
        <v>0.91135253539646099</v>
      </c>
      <c r="L75" s="110">
        <v>1.5177448305323837</v>
      </c>
      <c r="M75" s="110"/>
      <c r="N75" s="110"/>
      <c r="O75" s="110"/>
      <c r="P75" s="110">
        <v>47.253709999999998</v>
      </c>
      <c r="Q75" s="110"/>
      <c r="R75" s="110"/>
      <c r="S75" s="110"/>
      <c r="T75" s="110"/>
    </row>
    <row r="76" spans="1:20">
      <c r="A76" s="110" t="s">
        <v>44</v>
      </c>
      <c r="B76" s="110" t="s">
        <v>62</v>
      </c>
      <c r="C76" s="110">
        <v>11430</v>
      </c>
      <c r="D76" s="110">
        <v>26.269929999999999</v>
      </c>
      <c r="E76" s="110">
        <v>7142</v>
      </c>
      <c r="F76" s="110">
        <v>322.33999999999997</v>
      </c>
      <c r="G76" s="110">
        <v>0.83973973073384955</v>
      </c>
      <c r="H76" s="110">
        <v>1.5741792710363818</v>
      </c>
      <c r="I76" s="110">
        <v>17969.309999999998</v>
      </c>
      <c r="J76" s="110">
        <v>408.11430000000001</v>
      </c>
      <c r="K76" s="110">
        <v>0.91055747618233995</v>
      </c>
      <c r="L76" s="110">
        <v>1.5196433100065028</v>
      </c>
      <c r="M76" s="110"/>
      <c r="N76" s="110"/>
      <c r="O76" s="110"/>
      <c r="P76" s="110">
        <v>49.04177</v>
      </c>
      <c r="Q76" s="110"/>
      <c r="R76" s="110"/>
      <c r="S76" s="110"/>
      <c r="T76" s="110"/>
    </row>
    <row r="77" spans="1:20">
      <c r="A77" s="110" t="s">
        <v>44</v>
      </c>
      <c r="B77" s="110" t="s">
        <v>62</v>
      </c>
      <c r="C77" s="110">
        <v>11430</v>
      </c>
      <c r="D77" s="110">
        <v>26.269929999999999</v>
      </c>
      <c r="E77" s="110">
        <v>7142</v>
      </c>
      <c r="F77" s="110">
        <v>322.33999999999997</v>
      </c>
      <c r="G77" s="110">
        <v>0.83973973073384955</v>
      </c>
      <c r="H77" s="110">
        <v>1.5741792710363818</v>
      </c>
      <c r="I77" s="110">
        <v>17491.64</v>
      </c>
      <c r="J77" s="110">
        <v>405.34410000000003</v>
      </c>
      <c r="K77" s="110">
        <v>0.9079541130837816</v>
      </c>
      <c r="L77" s="110">
        <v>1.5233112491751792</v>
      </c>
      <c r="M77" s="110"/>
      <c r="N77" s="110"/>
      <c r="O77" s="110"/>
      <c r="P77" s="110">
        <v>52.988329999999998</v>
      </c>
      <c r="Q77" s="110"/>
      <c r="R77" s="110"/>
      <c r="S77" s="110"/>
      <c r="T77" s="110"/>
    </row>
    <row r="78" spans="1:20">
      <c r="A78" s="110" t="s">
        <v>44</v>
      </c>
      <c r="B78" s="110" t="s">
        <v>62</v>
      </c>
      <c r="C78" s="110">
        <v>11430</v>
      </c>
      <c r="D78" s="110">
        <v>26.269929999999999</v>
      </c>
      <c r="E78" s="110">
        <v>7142</v>
      </c>
      <c r="F78" s="110">
        <v>322.33999999999997</v>
      </c>
      <c r="G78" s="110">
        <v>0.83973973073384955</v>
      </c>
      <c r="H78" s="110">
        <v>1.5741792710363818</v>
      </c>
      <c r="I78" s="110">
        <v>17310.72</v>
      </c>
      <c r="J78" s="110">
        <v>404.37950000000001</v>
      </c>
      <c r="K78" s="110">
        <v>0.90665276706997455</v>
      </c>
      <c r="L78" s="110">
        <v>1.5242679261561045</v>
      </c>
      <c r="M78" s="110"/>
      <c r="N78" s="110"/>
      <c r="O78" s="110"/>
      <c r="P78" s="110">
        <v>54.249740000000003</v>
      </c>
      <c r="Q78" s="110"/>
      <c r="R78" s="110"/>
      <c r="S78" s="110"/>
      <c r="T78" s="110"/>
    </row>
    <row r="79" spans="1:20">
      <c r="A79" s="110" t="s">
        <v>44</v>
      </c>
      <c r="B79" s="110" t="s">
        <v>62</v>
      </c>
      <c r="C79" s="110">
        <v>11430</v>
      </c>
      <c r="D79" s="110">
        <v>26.269929999999999</v>
      </c>
      <c r="E79" s="110">
        <v>7142</v>
      </c>
      <c r="F79" s="110">
        <v>322.33999999999997</v>
      </c>
      <c r="G79" s="110">
        <v>0.83973973073384955</v>
      </c>
      <c r="H79" s="110">
        <v>1.5741792710363818</v>
      </c>
      <c r="I79" s="110">
        <v>17307.560000000001</v>
      </c>
      <c r="J79" s="110">
        <v>404.36329999999998</v>
      </c>
      <c r="K79" s="110">
        <v>0.90662913800532674</v>
      </c>
      <c r="L79" s="110">
        <v>1.524282193574185</v>
      </c>
      <c r="M79" s="110"/>
      <c r="N79" s="110"/>
      <c r="O79" s="110"/>
      <c r="P79" s="110">
        <v>54.270209999999999</v>
      </c>
      <c r="Q79" s="110"/>
      <c r="R79" s="110"/>
      <c r="S79" s="110"/>
      <c r="T79" s="110"/>
    </row>
    <row r="80" spans="1:20">
      <c r="A80" s="110" t="s">
        <v>44</v>
      </c>
      <c r="B80" s="110" t="s">
        <v>62</v>
      </c>
      <c r="C80" s="110">
        <v>11430</v>
      </c>
      <c r="D80" s="110">
        <v>26.269929999999999</v>
      </c>
      <c r="E80" s="110">
        <v>7142</v>
      </c>
      <c r="F80" s="110">
        <v>322.33999999999997</v>
      </c>
      <c r="G80" s="110">
        <v>0.83973973073384955</v>
      </c>
      <c r="H80" s="110">
        <v>1.5741792710363818</v>
      </c>
      <c r="I80" s="110">
        <v>16932.62</v>
      </c>
      <c r="J80" s="110">
        <v>402.49009999999998</v>
      </c>
      <c r="K80" s="110">
        <v>0.90347687817075006</v>
      </c>
      <c r="L80" s="110">
        <v>1.5257922577065897</v>
      </c>
      <c r="M80" s="110"/>
      <c r="N80" s="110"/>
      <c r="O80" s="110"/>
      <c r="P80" s="110">
        <v>56.53098</v>
      </c>
      <c r="Q80" s="110"/>
      <c r="R80" s="110"/>
      <c r="S80" s="110"/>
      <c r="T80" s="110"/>
    </row>
    <row r="81" spans="1:20">
      <c r="A81" s="110" t="s">
        <v>44</v>
      </c>
      <c r="B81" s="110" t="s">
        <v>62</v>
      </c>
      <c r="C81" s="110">
        <v>11430</v>
      </c>
      <c r="D81" s="110">
        <v>26.269929999999999</v>
      </c>
      <c r="E81" s="110">
        <v>7142</v>
      </c>
      <c r="F81" s="110">
        <v>322.33999999999997</v>
      </c>
      <c r="G81" s="110">
        <v>0.83973973073384955</v>
      </c>
      <c r="H81" s="110">
        <v>1.5741792710363818</v>
      </c>
      <c r="I81" s="110">
        <v>16251.929999999998</v>
      </c>
      <c r="J81" s="110">
        <v>399.28859999999997</v>
      </c>
      <c r="K81" s="110">
        <v>0.89769915377268639</v>
      </c>
      <c r="L81" s="110">
        <v>1.5224907986202478</v>
      </c>
      <c r="M81" s="110"/>
      <c r="N81" s="110"/>
      <c r="O81" s="110"/>
      <c r="P81" s="110">
        <v>60.02393</v>
      </c>
      <c r="Q81" s="110"/>
      <c r="R81" s="110"/>
      <c r="S81" s="110"/>
      <c r="T81" s="110"/>
    </row>
    <row r="82" spans="1:20">
      <c r="A82" s="110" t="s">
        <v>44</v>
      </c>
      <c r="B82" s="110" t="s">
        <v>62</v>
      </c>
      <c r="C82" s="110">
        <v>11430</v>
      </c>
      <c r="D82" s="110">
        <v>26.269929999999999</v>
      </c>
      <c r="E82" s="110">
        <v>7142</v>
      </c>
      <c r="F82" s="110">
        <v>322.33999999999997</v>
      </c>
      <c r="G82" s="110">
        <v>0.83973973073384955</v>
      </c>
      <c r="H82" s="110">
        <v>1.5741792710363818</v>
      </c>
      <c r="I82" s="110">
        <v>15819.460000000001</v>
      </c>
      <c r="J82" s="110">
        <v>397.32510000000002</v>
      </c>
      <c r="K82" s="110">
        <v>0.89735356387535703</v>
      </c>
      <c r="L82" s="110">
        <v>1.5243568781779262</v>
      </c>
      <c r="M82" s="110"/>
      <c r="N82" s="110"/>
      <c r="O82" s="110"/>
      <c r="P82" s="110">
        <v>61.932989999999997</v>
      </c>
      <c r="Q82" s="110"/>
      <c r="R82" s="110"/>
      <c r="S82" s="110"/>
      <c r="T82" s="110"/>
    </row>
    <row r="83" spans="1:20">
      <c r="A83" s="110" t="s">
        <v>44</v>
      </c>
      <c r="B83" s="110" t="s">
        <v>62</v>
      </c>
      <c r="C83" s="110">
        <v>11430</v>
      </c>
      <c r="D83" s="110">
        <v>26.269929999999999</v>
      </c>
      <c r="E83" s="110">
        <v>7142</v>
      </c>
      <c r="F83" s="110">
        <v>322.33999999999997</v>
      </c>
      <c r="G83" s="110">
        <v>0.83973973073384955</v>
      </c>
      <c r="H83" s="110">
        <v>1.5741792710363818</v>
      </c>
      <c r="I83" s="110">
        <v>15729.079999999998</v>
      </c>
      <c r="J83" s="110">
        <v>396.92649999999998</v>
      </c>
      <c r="K83" s="110">
        <v>0.8971223871698939</v>
      </c>
      <c r="L83" s="110">
        <v>1.5246729077601739</v>
      </c>
      <c r="M83" s="110"/>
      <c r="N83" s="110"/>
      <c r="O83" s="110"/>
      <c r="P83" s="110">
        <v>62.293210000000002</v>
      </c>
      <c r="Q83" s="110"/>
      <c r="R83" s="110"/>
      <c r="S83" s="110"/>
      <c r="T83" s="110"/>
    </row>
    <row r="84" spans="1:20">
      <c r="A84" s="110" t="s">
        <v>44</v>
      </c>
      <c r="B84" s="110" t="s">
        <v>62</v>
      </c>
      <c r="C84" s="110">
        <v>11430</v>
      </c>
      <c r="D84" s="110">
        <v>26.269929999999999</v>
      </c>
      <c r="E84" s="110">
        <v>7142</v>
      </c>
      <c r="F84" s="110">
        <v>322.33999999999997</v>
      </c>
      <c r="G84" s="110">
        <v>0.83973973073384955</v>
      </c>
      <c r="H84" s="110">
        <v>1.5741792710363818</v>
      </c>
      <c r="I84" s="110">
        <v>14954.169999999998</v>
      </c>
      <c r="J84" s="110">
        <v>393.63490000000002</v>
      </c>
      <c r="K84" s="110">
        <v>0.89272149775469545</v>
      </c>
      <c r="L84" s="110">
        <v>1.5263069493290382</v>
      </c>
      <c r="M84" s="110"/>
      <c r="N84" s="110"/>
      <c r="O84" s="110"/>
      <c r="P84" s="110">
        <v>64.916790000000006</v>
      </c>
      <c r="Q84" s="110"/>
      <c r="R84" s="110"/>
      <c r="S84" s="110"/>
      <c r="T84" s="110"/>
    </row>
    <row r="85" spans="1:20">
      <c r="A85" s="110" t="s">
        <v>44</v>
      </c>
      <c r="B85" s="110" t="s">
        <v>62</v>
      </c>
      <c r="C85" s="110">
        <v>11430</v>
      </c>
      <c r="D85" s="110">
        <v>26.269929999999999</v>
      </c>
      <c r="E85" s="110">
        <v>7142</v>
      </c>
      <c r="F85" s="110">
        <v>322.33999999999997</v>
      </c>
      <c r="G85" s="110">
        <v>0.83973973073384955</v>
      </c>
      <c r="H85" s="110">
        <v>1.5741792710363818</v>
      </c>
      <c r="I85" s="110">
        <v>14570.98</v>
      </c>
      <c r="J85" s="110">
        <v>392.03620000000001</v>
      </c>
      <c r="K85" s="110">
        <v>0.89007372390808448</v>
      </c>
      <c r="L85" s="110">
        <v>1.5155023993831025</v>
      </c>
      <c r="M85" s="110"/>
      <c r="N85" s="110"/>
      <c r="O85" s="110"/>
      <c r="P85" s="110">
        <v>65.985950000000003</v>
      </c>
      <c r="Q85" s="110"/>
      <c r="R85" s="110"/>
      <c r="S85" s="110"/>
      <c r="T85" s="110"/>
    </row>
    <row r="86" spans="1:20">
      <c r="A86" s="110" t="s">
        <v>44</v>
      </c>
      <c r="B86" s="110" t="s">
        <v>62</v>
      </c>
      <c r="C86" s="110">
        <v>11430</v>
      </c>
      <c r="D86" s="110">
        <v>26.269929999999999</v>
      </c>
      <c r="E86" s="110">
        <v>7142</v>
      </c>
      <c r="F86" s="110">
        <v>322.33999999999997</v>
      </c>
      <c r="G86" s="110">
        <v>0.83973973073384955</v>
      </c>
      <c r="H86" s="110">
        <v>1.5741792710363818</v>
      </c>
      <c r="I86" s="110">
        <v>13793.97</v>
      </c>
      <c r="J86" s="110">
        <v>388.87970000000001</v>
      </c>
      <c r="K86" s="110">
        <v>0.890354004609198</v>
      </c>
      <c r="L86" s="110">
        <v>1.5178563937799765</v>
      </c>
      <c r="M86" s="110"/>
      <c r="N86" s="110"/>
      <c r="O86" s="110"/>
      <c r="P86" s="110">
        <v>67.765789999999996</v>
      </c>
      <c r="Q86" s="110"/>
      <c r="R86" s="110"/>
      <c r="S86" s="110"/>
      <c r="T86" s="110"/>
    </row>
    <row r="87" spans="1:20">
      <c r="A87" s="110" t="s">
        <v>44</v>
      </c>
      <c r="B87" s="110" t="s">
        <v>62</v>
      </c>
      <c r="C87" s="110">
        <v>11430</v>
      </c>
      <c r="D87" s="110">
        <v>26.269929999999999</v>
      </c>
      <c r="E87" s="110">
        <v>7142</v>
      </c>
      <c r="F87" s="110">
        <v>322.33999999999997</v>
      </c>
      <c r="G87" s="110">
        <v>0.83973973073384955</v>
      </c>
      <c r="H87" s="110">
        <v>1.5741792710363818</v>
      </c>
      <c r="I87" s="110">
        <v>13427.58</v>
      </c>
      <c r="J87" s="110">
        <v>387.39940000000001</v>
      </c>
      <c r="K87" s="110">
        <v>0.88853671724308847</v>
      </c>
      <c r="L87" s="110">
        <v>1.5205204945137474</v>
      </c>
      <c r="M87" s="110"/>
      <c r="N87" s="110"/>
      <c r="O87" s="110"/>
      <c r="P87" s="110">
        <v>68.504450000000006</v>
      </c>
      <c r="Q87" s="110"/>
      <c r="R87" s="110"/>
      <c r="S87" s="110"/>
      <c r="T87" s="110"/>
    </row>
    <row r="88" spans="1:20">
      <c r="A88" s="110" t="s">
        <v>44</v>
      </c>
      <c r="B88" s="110" t="s">
        <v>62</v>
      </c>
      <c r="C88" s="110">
        <v>11430</v>
      </c>
      <c r="D88" s="110">
        <v>26.269929999999999</v>
      </c>
      <c r="E88" s="110">
        <v>7142</v>
      </c>
      <c r="F88" s="110">
        <v>322.33999999999997</v>
      </c>
      <c r="G88" s="110">
        <v>0.83973973073384955</v>
      </c>
      <c r="H88" s="110">
        <v>1.5741792710363818</v>
      </c>
      <c r="I88" s="110">
        <v>12663.800000000001</v>
      </c>
      <c r="J88" s="110">
        <v>384.27690000000001</v>
      </c>
      <c r="K88" s="110">
        <v>0.88807697152445975</v>
      </c>
      <c r="L88" s="110">
        <v>1.5074333014942365</v>
      </c>
      <c r="M88" s="110"/>
      <c r="N88" s="110"/>
      <c r="O88" s="110"/>
      <c r="P88" s="110">
        <v>69.875559999999993</v>
      </c>
      <c r="Q88" s="110"/>
      <c r="R88" s="110"/>
      <c r="S88" s="110"/>
      <c r="T88" s="110"/>
    </row>
    <row r="89" spans="1:20">
      <c r="A89" s="110" t="s">
        <v>44</v>
      </c>
      <c r="B89" s="110" t="s">
        <v>62</v>
      </c>
      <c r="C89" s="110">
        <v>11430</v>
      </c>
      <c r="D89" s="110">
        <v>26.269929999999999</v>
      </c>
      <c r="E89" s="110">
        <v>7142</v>
      </c>
      <c r="F89" s="110">
        <v>322.33999999999997</v>
      </c>
      <c r="G89" s="110">
        <v>0.83973973073384955</v>
      </c>
      <c r="H89" s="110">
        <v>1.5741792710363818</v>
      </c>
      <c r="I89" s="110">
        <v>12250.4</v>
      </c>
      <c r="J89" s="110">
        <v>382.57659999999998</v>
      </c>
      <c r="K89" s="110">
        <v>0.88786390193954989</v>
      </c>
      <c r="L89" s="110">
        <v>1.5085517956289969</v>
      </c>
      <c r="M89" s="110"/>
      <c r="N89" s="110"/>
      <c r="O89" s="110"/>
      <c r="P89" s="110">
        <v>70.523449999999997</v>
      </c>
      <c r="Q89" s="110"/>
      <c r="R89" s="110"/>
      <c r="S89" s="110"/>
      <c r="T89" s="110"/>
    </row>
    <row r="90" spans="1:20">
      <c r="A90" s="110" t="s">
        <v>44</v>
      </c>
      <c r="B90" s="110" t="s">
        <v>62</v>
      </c>
      <c r="C90" s="110">
        <v>11430</v>
      </c>
      <c r="D90" s="110">
        <v>26.269929999999999</v>
      </c>
      <c r="E90" s="110">
        <v>7142</v>
      </c>
      <c r="F90" s="110">
        <v>322.33999999999997</v>
      </c>
      <c r="G90" s="110">
        <v>0.83973973073384955</v>
      </c>
      <c r="H90" s="110">
        <v>1.5741792710363818</v>
      </c>
      <c r="I90" s="110">
        <v>11463.4</v>
      </c>
      <c r="J90" s="110">
        <v>379.29500000000002</v>
      </c>
      <c r="K90" s="110">
        <v>0.88669727474214</v>
      </c>
      <c r="L90" s="110">
        <v>1.4916950340405482</v>
      </c>
      <c r="M90" s="110"/>
      <c r="N90" s="110"/>
      <c r="O90" s="110"/>
      <c r="P90" s="110">
        <v>71.580550000000002</v>
      </c>
      <c r="Q90" s="110"/>
      <c r="R90" s="110"/>
      <c r="S90" s="110"/>
      <c r="T90" s="110"/>
    </row>
    <row r="91" spans="1:20">
      <c r="A91" s="110" t="s">
        <v>44</v>
      </c>
      <c r="B91" s="110" t="s">
        <v>62</v>
      </c>
      <c r="C91" s="110">
        <v>10795</v>
      </c>
      <c r="D91" s="110">
        <v>26.269929999999999</v>
      </c>
      <c r="E91" s="110">
        <v>7142</v>
      </c>
      <c r="F91" s="110">
        <v>322.33999999999997</v>
      </c>
      <c r="G91" s="110">
        <v>0.83973973073384955</v>
      </c>
      <c r="H91" s="110">
        <v>1.5741792710363818</v>
      </c>
      <c r="I91" s="110">
        <v>17255.98</v>
      </c>
      <c r="J91" s="110">
        <v>406.45080000000002</v>
      </c>
      <c r="K91" s="110">
        <v>0.90959480120243252</v>
      </c>
      <c r="L91" s="110">
        <v>1.5161469248977861</v>
      </c>
      <c r="M91" s="110"/>
      <c r="N91" s="110"/>
      <c r="O91" s="110"/>
      <c r="P91" s="110">
        <v>34.369370000000004</v>
      </c>
      <c r="Q91" s="110"/>
      <c r="R91" s="110"/>
      <c r="S91" s="110"/>
      <c r="T91" s="110"/>
    </row>
    <row r="92" spans="1:20">
      <c r="A92" s="110" t="s">
        <v>44</v>
      </c>
      <c r="B92" s="110" t="s">
        <v>62</v>
      </c>
      <c r="C92" s="110">
        <v>10795</v>
      </c>
      <c r="D92" s="110">
        <v>26.269929999999999</v>
      </c>
      <c r="E92" s="110">
        <v>7142</v>
      </c>
      <c r="F92" s="110">
        <v>322.33999999999997</v>
      </c>
      <c r="G92" s="110">
        <v>0.83973973073384955</v>
      </c>
      <c r="H92" s="110">
        <v>1.5741792710363818</v>
      </c>
      <c r="I92" s="110">
        <v>17236.080000000002</v>
      </c>
      <c r="J92" s="110">
        <v>406.21980000000002</v>
      </c>
      <c r="K92" s="110">
        <v>0.90927011245245726</v>
      </c>
      <c r="L92" s="110">
        <v>1.5167035974451912</v>
      </c>
      <c r="M92" s="110"/>
      <c r="N92" s="110"/>
      <c r="O92" s="110"/>
      <c r="P92" s="110">
        <v>34.787939999999999</v>
      </c>
      <c r="Q92" s="110"/>
      <c r="R92" s="110"/>
      <c r="S92" s="110"/>
      <c r="T92" s="110"/>
    </row>
    <row r="93" spans="1:20">
      <c r="A93" s="110" t="s">
        <v>44</v>
      </c>
      <c r="B93" s="110" t="s">
        <v>62</v>
      </c>
      <c r="C93" s="110">
        <v>10795</v>
      </c>
      <c r="D93" s="110">
        <v>26.269929999999999</v>
      </c>
      <c r="E93" s="110">
        <v>7142</v>
      </c>
      <c r="F93" s="110">
        <v>322.33999999999997</v>
      </c>
      <c r="G93" s="110">
        <v>0.83973973073384955</v>
      </c>
      <c r="H93" s="110">
        <v>1.5741792710363818</v>
      </c>
      <c r="I93" s="110">
        <v>17206.07</v>
      </c>
      <c r="J93" s="110">
        <v>405.88639999999998</v>
      </c>
      <c r="K93" s="110">
        <v>0.90879640622545921</v>
      </c>
      <c r="L93" s="110">
        <v>1.517487894909211</v>
      </c>
      <c r="M93" s="110"/>
      <c r="N93" s="110"/>
      <c r="O93" s="110"/>
      <c r="P93" s="110">
        <v>35.385010000000001</v>
      </c>
      <c r="Q93" s="110"/>
      <c r="R93" s="110"/>
      <c r="S93" s="110"/>
      <c r="T93" s="110"/>
    </row>
    <row r="94" spans="1:20">
      <c r="A94" s="110" t="s">
        <v>44</v>
      </c>
      <c r="B94" s="110" t="s">
        <v>62</v>
      </c>
      <c r="C94" s="110">
        <v>10795</v>
      </c>
      <c r="D94" s="110">
        <v>26.269929999999999</v>
      </c>
      <c r="E94" s="110">
        <v>7142</v>
      </c>
      <c r="F94" s="110">
        <v>322.33999999999997</v>
      </c>
      <c r="G94" s="110">
        <v>0.83973973073384955</v>
      </c>
      <c r="H94" s="110">
        <v>1.5741792710363818</v>
      </c>
      <c r="I94" s="110">
        <v>17063.32</v>
      </c>
      <c r="J94" s="110">
        <v>404.4803</v>
      </c>
      <c r="K94" s="110">
        <v>0.90664631052569111</v>
      </c>
      <c r="L94" s="110">
        <v>1.5205042087607292</v>
      </c>
      <c r="M94" s="110"/>
      <c r="N94" s="110"/>
      <c r="O94" s="110"/>
      <c r="P94" s="110">
        <v>37.79974</v>
      </c>
      <c r="Q94" s="110"/>
      <c r="R94" s="110"/>
      <c r="S94" s="110"/>
      <c r="T94" s="110"/>
    </row>
    <row r="95" spans="1:20">
      <c r="A95" s="110" t="s">
        <v>44</v>
      </c>
      <c r="B95" s="110" t="s">
        <v>62</v>
      </c>
      <c r="C95" s="110">
        <v>10795</v>
      </c>
      <c r="D95" s="110">
        <v>26.269929999999999</v>
      </c>
      <c r="E95" s="110">
        <v>7142</v>
      </c>
      <c r="F95" s="110">
        <v>322.33999999999997</v>
      </c>
      <c r="G95" s="110">
        <v>0.83973973073384955</v>
      </c>
      <c r="H95" s="110">
        <v>1.5741792710363818</v>
      </c>
      <c r="I95" s="110">
        <v>16792.439999999999</v>
      </c>
      <c r="J95" s="110">
        <v>402.23410000000001</v>
      </c>
      <c r="K95" s="110">
        <v>0.90274302559963926</v>
      </c>
      <c r="L95" s="110">
        <v>1.5247427815174821</v>
      </c>
      <c r="M95" s="110"/>
      <c r="N95" s="110"/>
      <c r="O95" s="110"/>
      <c r="P95" s="110">
        <v>41.349060000000001</v>
      </c>
      <c r="Q95" s="110"/>
      <c r="R95" s="110"/>
      <c r="S95" s="110"/>
      <c r="T95" s="110"/>
    </row>
    <row r="96" spans="1:20">
      <c r="A96" s="110" t="s">
        <v>44</v>
      </c>
      <c r="B96" s="110" t="s">
        <v>62</v>
      </c>
      <c r="C96" s="110">
        <v>10795</v>
      </c>
      <c r="D96" s="110">
        <v>26.269929999999999</v>
      </c>
      <c r="E96" s="110">
        <v>7142</v>
      </c>
      <c r="F96" s="110">
        <v>322.33999999999997</v>
      </c>
      <c r="G96" s="110">
        <v>0.83973973073384955</v>
      </c>
      <c r="H96" s="110">
        <v>1.5741792710363818</v>
      </c>
      <c r="I96" s="110">
        <v>16360.820000000002</v>
      </c>
      <c r="J96" s="110">
        <v>399.26799999999997</v>
      </c>
      <c r="K96" s="110">
        <v>0.89680073976215535</v>
      </c>
      <c r="L96" s="110">
        <v>1.5240004902745306</v>
      </c>
      <c r="M96" s="110"/>
      <c r="N96" s="110"/>
      <c r="O96" s="110"/>
      <c r="P96" s="110">
        <v>45.723820000000003</v>
      </c>
      <c r="Q96" s="110"/>
      <c r="R96" s="110"/>
      <c r="S96" s="110"/>
      <c r="T96" s="110"/>
    </row>
    <row r="97" spans="1:20">
      <c r="A97" s="110" t="s">
        <v>44</v>
      </c>
      <c r="B97" s="110" t="s">
        <v>62</v>
      </c>
      <c r="C97" s="110">
        <v>10795</v>
      </c>
      <c r="D97" s="110">
        <v>26.269929999999999</v>
      </c>
      <c r="E97" s="110">
        <v>7142</v>
      </c>
      <c r="F97" s="110">
        <v>322.33999999999997</v>
      </c>
      <c r="G97" s="110">
        <v>0.83973973073384955</v>
      </c>
      <c r="H97" s="110">
        <v>1.5741792710363818</v>
      </c>
      <c r="I97" s="110">
        <v>15935.659999999998</v>
      </c>
      <c r="J97" s="110">
        <v>396.72059999999999</v>
      </c>
      <c r="K97" s="110">
        <v>0.89590421855253555</v>
      </c>
      <c r="L97" s="110">
        <v>1.5283431992247998</v>
      </c>
      <c r="M97" s="110"/>
      <c r="N97" s="110"/>
      <c r="O97" s="110"/>
      <c r="P97" s="110">
        <v>49.201090000000001</v>
      </c>
      <c r="Q97" s="110"/>
      <c r="R97" s="110"/>
      <c r="S97" s="110"/>
      <c r="T97" s="110"/>
    </row>
    <row r="98" spans="1:20">
      <c r="A98" s="110" t="s">
        <v>44</v>
      </c>
      <c r="B98" s="110" t="s">
        <v>62</v>
      </c>
      <c r="C98" s="110">
        <v>10795</v>
      </c>
      <c r="D98" s="110">
        <v>26.269929999999999</v>
      </c>
      <c r="E98" s="110">
        <v>7142</v>
      </c>
      <c r="F98" s="110">
        <v>322.33999999999997</v>
      </c>
      <c r="G98" s="110">
        <v>0.83973973073384955</v>
      </c>
      <c r="H98" s="110">
        <v>1.5741792710363818</v>
      </c>
      <c r="I98" s="110">
        <v>15491.309999999998</v>
      </c>
      <c r="J98" s="110">
        <v>394.2971</v>
      </c>
      <c r="K98" s="110">
        <v>0.89384053421247855</v>
      </c>
      <c r="L98" s="110">
        <v>1.5316627868719215</v>
      </c>
      <c r="M98" s="110"/>
      <c r="N98" s="110"/>
      <c r="O98" s="110"/>
      <c r="P98" s="110">
        <v>52.176720000000003</v>
      </c>
      <c r="Q98" s="110"/>
      <c r="R98" s="110"/>
      <c r="S98" s="110"/>
      <c r="T98" s="110"/>
    </row>
    <row r="99" spans="1:20">
      <c r="A99" s="110" t="s">
        <v>44</v>
      </c>
      <c r="B99" s="110" t="s">
        <v>62</v>
      </c>
      <c r="C99" s="110">
        <v>10795</v>
      </c>
      <c r="D99" s="110">
        <v>26.269929999999999</v>
      </c>
      <c r="E99" s="110">
        <v>7142</v>
      </c>
      <c r="F99" s="110">
        <v>322.33999999999997</v>
      </c>
      <c r="G99" s="110">
        <v>0.83973973073384955</v>
      </c>
      <c r="H99" s="110">
        <v>1.5741792710363818</v>
      </c>
      <c r="I99" s="110">
        <v>14520.130000000001</v>
      </c>
      <c r="J99" s="110">
        <v>389.43419999999998</v>
      </c>
      <c r="K99" s="110">
        <v>0.88651502416786343</v>
      </c>
      <c r="L99" s="110">
        <v>1.5255741716941322</v>
      </c>
      <c r="M99" s="110"/>
      <c r="N99" s="110"/>
      <c r="O99" s="110"/>
      <c r="P99" s="110">
        <v>57.222929999999998</v>
      </c>
      <c r="Q99" s="110"/>
      <c r="R99" s="110"/>
      <c r="S99" s="110"/>
      <c r="T99" s="110"/>
    </row>
    <row r="100" spans="1:20">
      <c r="A100" s="110" t="s">
        <v>44</v>
      </c>
      <c r="B100" s="110" t="s">
        <v>62</v>
      </c>
      <c r="C100" s="110">
        <v>10795</v>
      </c>
      <c r="D100" s="110">
        <v>26.269929999999999</v>
      </c>
      <c r="E100" s="110">
        <v>7142</v>
      </c>
      <c r="F100" s="110">
        <v>322.33999999999997</v>
      </c>
      <c r="G100" s="110">
        <v>0.83973973073384955</v>
      </c>
      <c r="H100" s="110">
        <v>1.5741792710363818</v>
      </c>
      <c r="I100" s="110">
        <v>13223.210000000001</v>
      </c>
      <c r="J100" s="110">
        <v>383.61860000000001</v>
      </c>
      <c r="K100" s="110">
        <v>0.88241671163501756</v>
      </c>
      <c r="L100" s="110">
        <v>1.530620607646153</v>
      </c>
      <c r="M100" s="110"/>
      <c r="N100" s="110"/>
      <c r="O100" s="110"/>
      <c r="P100" s="110">
        <v>61.579059999999998</v>
      </c>
      <c r="Q100" s="110"/>
      <c r="R100" s="110"/>
      <c r="S100" s="110"/>
      <c r="T100" s="110"/>
    </row>
    <row r="101" spans="1:20">
      <c r="A101" s="110" t="s">
        <v>44</v>
      </c>
      <c r="B101" s="110" t="s">
        <v>62</v>
      </c>
      <c r="C101" s="110">
        <v>10795</v>
      </c>
      <c r="D101" s="110">
        <v>26.269929999999999</v>
      </c>
      <c r="E101" s="110">
        <v>7142</v>
      </c>
      <c r="F101" s="110">
        <v>322.33999999999997</v>
      </c>
      <c r="G101" s="110">
        <v>0.83973973073384955</v>
      </c>
      <c r="H101" s="110">
        <v>1.5741792710363818</v>
      </c>
      <c r="I101" s="110">
        <v>13128.18</v>
      </c>
      <c r="J101" s="110">
        <v>383.2029</v>
      </c>
      <c r="K101" s="110">
        <v>0.88147466305934319</v>
      </c>
      <c r="L101" s="110">
        <v>1.5308626205193854</v>
      </c>
      <c r="M101" s="110"/>
      <c r="N101" s="110"/>
      <c r="O101" s="110"/>
      <c r="P101" s="110">
        <v>61.834859999999999</v>
      </c>
      <c r="Q101" s="110"/>
      <c r="R101" s="110"/>
      <c r="S101" s="110"/>
      <c r="T101" s="110"/>
    </row>
    <row r="102" spans="1:20">
      <c r="A102" s="110" t="s">
        <v>44</v>
      </c>
      <c r="B102" s="110" t="s">
        <v>62</v>
      </c>
      <c r="C102" s="110">
        <v>10795</v>
      </c>
      <c r="D102" s="110">
        <v>26.269929999999999</v>
      </c>
      <c r="E102" s="110">
        <v>7142</v>
      </c>
      <c r="F102" s="110">
        <v>322.33999999999997</v>
      </c>
      <c r="G102" s="110">
        <v>0.83973973073384955</v>
      </c>
      <c r="H102" s="110">
        <v>1.5741792710363818</v>
      </c>
      <c r="I102" s="110">
        <v>12696.82</v>
      </c>
      <c r="J102" s="110">
        <v>381.31</v>
      </c>
      <c r="K102" s="110">
        <v>0.88301831646668394</v>
      </c>
      <c r="L102" s="110">
        <v>1.51850683138517</v>
      </c>
      <c r="M102" s="110"/>
      <c r="N102" s="110"/>
      <c r="O102" s="110"/>
      <c r="P102" s="110">
        <v>62.937759999999997</v>
      </c>
      <c r="Q102" s="110"/>
      <c r="R102" s="110"/>
      <c r="S102" s="110"/>
      <c r="T102" s="110"/>
    </row>
    <row r="103" spans="1:20">
      <c r="A103" s="110" t="s">
        <v>44</v>
      </c>
      <c r="B103" s="110" t="s">
        <v>62</v>
      </c>
      <c r="C103" s="110">
        <v>10795</v>
      </c>
      <c r="D103" s="110">
        <v>26.269929999999999</v>
      </c>
      <c r="E103" s="110">
        <v>7142</v>
      </c>
      <c r="F103" s="110">
        <v>322.33999999999997</v>
      </c>
      <c r="G103" s="110">
        <v>0.83973973073384955</v>
      </c>
      <c r="H103" s="110">
        <v>1.5741792710363818</v>
      </c>
      <c r="I103" s="110">
        <v>11925.17</v>
      </c>
      <c r="J103" s="110">
        <v>377.92450000000002</v>
      </c>
      <c r="K103" s="110">
        <v>0.88108698313310463</v>
      </c>
      <c r="L103" s="110">
        <v>1.5227356376929815</v>
      </c>
      <c r="M103" s="110"/>
      <c r="N103" s="110"/>
      <c r="O103" s="110"/>
      <c r="P103" s="110">
        <v>64.577420000000004</v>
      </c>
      <c r="Q103" s="110"/>
      <c r="R103" s="110"/>
      <c r="S103" s="110"/>
      <c r="T103" s="110"/>
    </row>
    <row r="104" spans="1:20">
      <c r="A104" s="110" t="s">
        <v>44</v>
      </c>
      <c r="B104" s="110" t="s">
        <v>62</v>
      </c>
      <c r="C104" s="110">
        <v>10795</v>
      </c>
      <c r="D104" s="110">
        <v>26.269929999999999</v>
      </c>
      <c r="E104" s="110">
        <v>7142</v>
      </c>
      <c r="F104" s="110">
        <v>322.33999999999997</v>
      </c>
      <c r="G104" s="110">
        <v>0.83973973073384955</v>
      </c>
      <c r="H104" s="110">
        <v>1.5741792710363818</v>
      </c>
      <c r="I104" s="110">
        <v>11545.740000000002</v>
      </c>
      <c r="J104" s="110">
        <v>376.25810000000001</v>
      </c>
      <c r="K104" s="110">
        <v>0.88092333724023608</v>
      </c>
      <c r="L104" s="110">
        <v>1.504796793101236</v>
      </c>
      <c r="M104" s="110"/>
      <c r="N104" s="110"/>
      <c r="O104" s="110"/>
      <c r="P104" s="110">
        <v>65.24418</v>
      </c>
      <c r="Q104" s="110"/>
      <c r="R104" s="110"/>
      <c r="S104" s="110"/>
      <c r="T104" s="110"/>
    </row>
    <row r="105" spans="1:20">
      <c r="A105" s="110" t="s">
        <v>44</v>
      </c>
      <c r="B105" s="110" t="s">
        <v>62</v>
      </c>
      <c r="C105" s="110">
        <v>10795</v>
      </c>
      <c r="D105" s="110">
        <v>26.269929999999999</v>
      </c>
      <c r="E105" s="110">
        <v>7142</v>
      </c>
      <c r="F105" s="110">
        <v>322.33999999999997</v>
      </c>
      <c r="G105" s="110">
        <v>0.83973973073384955</v>
      </c>
      <c r="H105" s="110">
        <v>1.5741792710363818</v>
      </c>
      <c r="I105" s="110">
        <v>10897.5</v>
      </c>
      <c r="J105" s="110">
        <v>373.38839999999999</v>
      </c>
      <c r="K105" s="110">
        <v>0.88253988278908901</v>
      </c>
      <c r="L105" s="110">
        <v>1.5075978604295064</v>
      </c>
      <c r="M105" s="110"/>
      <c r="N105" s="110"/>
      <c r="O105" s="110"/>
      <c r="P105" s="110">
        <v>66.246639999999999</v>
      </c>
      <c r="Q105" s="110"/>
      <c r="R105" s="110"/>
      <c r="S105" s="110"/>
      <c r="T105" s="110"/>
    </row>
    <row r="106" spans="1:20">
      <c r="A106" s="110" t="s">
        <v>44</v>
      </c>
      <c r="B106" s="110" t="s">
        <v>62</v>
      </c>
      <c r="C106" s="110">
        <v>10795</v>
      </c>
      <c r="D106" s="110">
        <v>26.269929999999999</v>
      </c>
      <c r="E106" s="110">
        <v>7142</v>
      </c>
      <c r="F106" s="110">
        <v>322.33999999999997</v>
      </c>
      <c r="G106" s="110">
        <v>0.83973973073384955</v>
      </c>
      <c r="H106" s="110">
        <v>1.5741792710363818</v>
      </c>
      <c r="I106" s="110">
        <v>10729.439999999999</v>
      </c>
      <c r="J106" s="110">
        <v>372.63380000000001</v>
      </c>
      <c r="K106" s="110">
        <v>0.88184234633462155</v>
      </c>
      <c r="L106" s="110">
        <v>1.5083752644362383</v>
      </c>
      <c r="M106" s="110"/>
      <c r="N106" s="110"/>
      <c r="O106" s="110"/>
      <c r="P106" s="110">
        <v>66.490769999999998</v>
      </c>
      <c r="Q106" s="110"/>
      <c r="R106" s="110"/>
      <c r="S106" s="110"/>
      <c r="T106" s="110"/>
    </row>
    <row r="107" spans="1:20">
      <c r="A107" s="110" t="s">
        <v>44</v>
      </c>
      <c r="B107" s="110" t="s">
        <v>62</v>
      </c>
      <c r="C107" s="110">
        <v>10160</v>
      </c>
      <c r="D107" s="110">
        <v>26.269929999999999</v>
      </c>
      <c r="E107" s="110">
        <v>7142</v>
      </c>
      <c r="F107" s="110">
        <v>322.33999999999997</v>
      </c>
      <c r="G107" s="110">
        <v>0.83973973073384955</v>
      </c>
      <c r="H107" s="110">
        <v>1.5741792710363818</v>
      </c>
      <c r="I107" s="110">
        <v>15726.849999999999</v>
      </c>
      <c r="J107" s="110">
        <v>397.56319999999999</v>
      </c>
      <c r="K107" s="110">
        <v>0.89806907651267753</v>
      </c>
      <c r="L107" s="110">
        <v>1.5221268270374408</v>
      </c>
      <c r="M107" s="110"/>
      <c r="N107" s="110"/>
      <c r="O107" s="110"/>
      <c r="P107" s="110">
        <v>32.044409999999999</v>
      </c>
      <c r="Q107" s="110"/>
      <c r="R107" s="110"/>
      <c r="S107" s="110"/>
      <c r="T107" s="110"/>
    </row>
    <row r="108" spans="1:20">
      <c r="A108" s="110" t="s">
        <v>44</v>
      </c>
      <c r="B108" s="110" t="s">
        <v>62</v>
      </c>
      <c r="C108" s="110">
        <v>10160</v>
      </c>
      <c r="D108" s="110">
        <v>26.269929999999999</v>
      </c>
      <c r="E108" s="110">
        <v>7142</v>
      </c>
      <c r="F108" s="110">
        <v>322.33999999999997</v>
      </c>
      <c r="G108" s="110">
        <v>0.83973973073384955</v>
      </c>
      <c r="H108" s="110">
        <v>1.5741792710363818</v>
      </c>
      <c r="I108" s="110">
        <v>15711.289999999999</v>
      </c>
      <c r="J108" s="110">
        <v>397.38029999999998</v>
      </c>
      <c r="K108" s="110">
        <v>0.89785451704170616</v>
      </c>
      <c r="L108" s="110">
        <v>1.5226308351088</v>
      </c>
      <c r="M108" s="110"/>
      <c r="N108" s="110"/>
      <c r="O108" s="110"/>
      <c r="P108" s="110">
        <v>32.363979999999998</v>
      </c>
      <c r="Q108" s="110"/>
      <c r="R108" s="110"/>
      <c r="S108" s="110"/>
      <c r="T108" s="110"/>
    </row>
    <row r="109" spans="1:20">
      <c r="A109" s="110" t="s">
        <v>44</v>
      </c>
      <c r="B109" s="110" t="s">
        <v>62</v>
      </c>
      <c r="C109" s="110">
        <v>10160</v>
      </c>
      <c r="D109" s="110">
        <v>26.269929999999999</v>
      </c>
      <c r="E109" s="110">
        <v>7142</v>
      </c>
      <c r="F109" s="110">
        <v>322.33999999999997</v>
      </c>
      <c r="G109" s="110">
        <v>0.83973973073384955</v>
      </c>
      <c r="H109" s="110">
        <v>1.5741792710363818</v>
      </c>
      <c r="I109" s="110">
        <v>15703.36</v>
      </c>
      <c r="J109" s="110">
        <v>397.28840000000002</v>
      </c>
      <c r="K109" s="110">
        <v>0.89774639094952124</v>
      </c>
      <c r="L109" s="110">
        <v>1.5228824824917904</v>
      </c>
      <c r="M109" s="110"/>
      <c r="N109" s="110"/>
      <c r="O109" s="110"/>
      <c r="P109" s="110">
        <v>32.523760000000003</v>
      </c>
      <c r="Q109" s="110"/>
      <c r="R109" s="110"/>
      <c r="S109" s="110"/>
      <c r="T109" s="110"/>
    </row>
    <row r="110" spans="1:20">
      <c r="A110" s="110" t="s">
        <v>44</v>
      </c>
      <c r="B110" s="110" t="s">
        <v>62</v>
      </c>
      <c r="C110" s="110">
        <v>10160</v>
      </c>
      <c r="D110" s="110">
        <v>26.269929999999999</v>
      </c>
      <c r="E110" s="110">
        <v>7142</v>
      </c>
      <c r="F110" s="110">
        <v>322.33999999999997</v>
      </c>
      <c r="G110" s="110">
        <v>0.83973973073384955</v>
      </c>
      <c r="H110" s="110">
        <v>1.5741792710363818</v>
      </c>
      <c r="I110" s="110">
        <v>15635.11</v>
      </c>
      <c r="J110" s="110">
        <v>396.55090000000001</v>
      </c>
      <c r="K110" s="110">
        <v>0.89687481773269517</v>
      </c>
      <c r="L110" s="110">
        <v>1.5248353607027396</v>
      </c>
      <c r="M110" s="110"/>
      <c r="N110" s="110"/>
      <c r="O110" s="110"/>
      <c r="P110" s="110">
        <v>33.782539999999997</v>
      </c>
      <c r="Q110" s="110"/>
      <c r="R110" s="110"/>
      <c r="S110" s="110"/>
      <c r="T110" s="110"/>
    </row>
    <row r="111" spans="1:20">
      <c r="A111" s="110" t="s">
        <v>44</v>
      </c>
      <c r="B111" s="110" t="s">
        <v>62</v>
      </c>
      <c r="C111" s="110">
        <v>10160</v>
      </c>
      <c r="D111" s="110">
        <v>26.269929999999999</v>
      </c>
      <c r="E111" s="110">
        <v>7142</v>
      </c>
      <c r="F111" s="110">
        <v>322.33999999999997</v>
      </c>
      <c r="G111" s="110">
        <v>0.83973973073384955</v>
      </c>
      <c r="H111" s="110">
        <v>1.5741792710363818</v>
      </c>
      <c r="I111" s="110">
        <v>15485.53</v>
      </c>
      <c r="J111" s="110">
        <v>395.12279999999998</v>
      </c>
      <c r="K111" s="110">
        <v>0.8951200523812235</v>
      </c>
      <c r="L111" s="110">
        <v>1.5283494377146911</v>
      </c>
      <c r="M111" s="110"/>
      <c r="N111" s="110"/>
      <c r="O111" s="110"/>
      <c r="P111" s="110">
        <v>36.089770000000001</v>
      </c>
      <c r="Q111" s="110"/>
      <c r="R111" s="110"/>
      <c r="S111" s="110"/>
      <c r="T111" s="110"/>
    </row>
    <row r="112" spans="1:20">
      <c r="A112" s="110" t="s">
        <v>44</v>
      </c>
      <c r="B112" s="110" t="s">
        <v>62</v>
      </c>
      <c r="C112" s="110">
        <v>10160</v>
      </c>
      <c r="D112" s="110">
        <v>26.269929999999999</v>
      </c>
      <c r="E112" s="110">
        <v>7142</v>
      </c>
      <c r="F112" s="110">
        <v>322.33999999999997</v>
      </c>
      <c r="G112" s="110">
        <v>0.83973973073384955</v>
      </c>
      <c r="H112" s="110">
        <v>1.5741792710363818</v>
      </c>
      <c r="I112" s="110">
        <v>15217.81</v>
      </c>
      <c r="J112" s="110">
        <v>392.90499999999997</v>
      </c>
      <c r="K112" s="110">
        <v>0.89187586286397558</v>
      </c>
      <c r="L112" s="110">
        <v>1.5331263506541362</v>
      </c>
      <c r="M112" s="110"/>
      <c r="N112" s="110"/>
      <c r="O112" s="110"/>
      <c r="P112" s="110">
        <v>39.451549999999997</v>
      </c>
      <c r="Q112" s="110"/>
      <c r="R112" s="110"/>
      <c r="S112" s="110"/>
      <c r="T112" s="110"/>
    </row>
    <row r="113" spans="1:20">
      <c r="A113" s="110" t="s">
        <v>44</v>
      </c>
      <c r="B113" s="110" t="s">
        <v>62</v>
      </c>
      <c r="C113" s="110">
        <v>10160</v>
      </c>
      <c r="D113" s="110">
        <v>26.269929999999999</v>
      </c>
      <c r="E113" s="110">
        <v>7142</v>
      </c>
      <c r="F113" s="110">
        <v>322.33999999999997</v>
      </c>
      <c r="G113" s="110">
        <v>0.83973973073384955</v>
      </c>
      <c r="H113" s="110">
        <v>1.5741792710363818</v>
      </c>
      <c r="I113" s="110">
        <v>15052.33</v>
      </c>
      <c r="J113" s="110">
        <v>391.68180000000001</v>
      </c>
      <c r="K113" s="110">
        <v>0.8898149603264186</v>
      </c>
      <c r="L113" s="110">
        <v>1.5355239973432582</v>
      </c>
      <c r="M113" s="110"/>
      <c r="N113" s="110"/>
      <c r="O113" s="110"/>
      <c r="P113" s="110">
        <v>41.238889999999998</v>
      </c>
      <c r="Q113" s="110"/>
      <c r="R113" s="110"/>
      <c r="S113" s="110"/>
      <c r="T113" s="110"/>
    </row>
    <row r="114" spans="1:20">
      <c r="A114" s="110" t="s">
        <v>44</v>
      </c>
      <c r="B114" s="110" t="s">
        <v>62</v>
      </c>
      <c r="C114" s="110">
        <v>10160</v>
      </c>
      <c r="D114" s="110">
        <v>26.269929999999999</v>
      </c>
      <c r="E114" s="110">
        <v>7142</v>
      </c>
      <c r="F114" s="110">
        <v>322.33999999999997</v>
      </c>
      <c r="G114" s="110">
        <v>0.83973973073384955</v>
      </c>
      <c r="H114" s="110">
        <v>1.5741792710363818</v>
      </c>
      <c r="I114" s="110">
        <v>14753.68</v>
      </c>
      <c r="J114" s="110">
        <v>389.67880000000002</v>
      </c>
      <c r="K114" s="110">
        <v>0.88591148931629071</v>
      </c>
      <c r="L114" s="110">
        <v>1.5390750132352171</v>
      </c>
      <c r="M114" s="110"/>
      <c r="N114" s="110"/>
      <c r="O114" s="110"/>
      <c r="P114" s="110">
        <v>44.001629999999999</v>
      </c>
      <c r="Q114" s="110"/>
      <c r="R114" s="110"/>
      <c r="S114" s="110"/>
      <c r="T114" s="110"/>
    </row>
    <row r="115" spans="1:20">
      <c r="A115" s="110" t="s">
        <v>44</v>
      </c>
      <c r="B115" s="110" t="s">
        <v>62</v>
      </c>
      <c r="C115" s="110">
        <v>10160</v>
      </c>
      <c r="D115" s="110">
        <v>26.269929999999999</v>
      </c>
      <c r="E115" s="110">
        <v>7142</v>
      </c>
      <c r="F115" s="110">
        <v>322.33999999999997</v>
      </c>
      <c r="G115" s="110">
        <v>0.83973973073384955</v>
      </c>
      <c r="H115" s="110">
        <v>1.5741792710363818</v>
      </c>
      <c r="I115" s="110">
        <v>14599.87</v>
      </c>
      <c r="J115" s="110">
        <v>388.71679999999998</v>
      </c>
      <c r="K115" s="110">
        <v>0.88454993948612959</v>
      </c>
      <c r="L115" s="110">
        <v>1.529729648939429</v>
      </c>
      <c r="M115" s="110"/>
      <c r="N115" s="110"/>
      <c r="O115" s="110"/>
      <c r="P115" s="110">
        <v>45.249659999999999</v>
      </c>
      <c r="Q115" s="110"/>
      <c r="R115" s="110"/>
      <c r="S115" s="110"/>
      <c r="T115" s="110"/>
    </row>
    <row r="116" spans="1:20">
      <c r="A116" s="110" t="s">
        <v>44</v>
      </c>
      <c r="B116" s="110" t="s">
        <v>62</v>
      </c>
      <c r="C116" s="110">
        <v>10160</v>
      </c>
      <c r="D116" s="110">
        <v>26.269929999999999</v>
      </c>
      <c r="E116" s="110">
        <v>7142</v>
      </c>
      <c r="F116" s="110">
        <v>322.33999999999997</v>
      </c>
      <c r="G116" s="110">
        <v>0.83973973073384955</v>
      </c>
      <c r="H116" s="110">
        <v>1.5741792710363818</v>
      </c>
      <c r="I116" s="110">
        <v>14319.49</v>
      </c>
      <c r="J116" s="110">
        <v>387.05079999999998</v>
      </c>
      <c r="K116" s="110">
        <v>0.88457957667338771</v>
      </c>
      <c r="L116" s="110">
        <v>1.5327182859707567</v>
      </c>
      <c r="M116" s="110"/>
      <c r="N116" s="110"/>
      <c r="O116" s="110"/>
      <c r="P116" s="110">
        <v>47.305570000000003</v>
      </c>
      <c r="Q116" s="110"/>
      <c r="R116" s="110"/>
      <c r="S116" s="110"/>
      <c r="T116" s="110"/>
    </row>
    <row r="117" spans="1:20">
      <c r="A117" s="110" t="s">
        <v>44</v>
      </c>
      <c r="B117" s="110" t="s">
        <v>62</v>
      </c>
      <c r="C117" s="110">
        <v>10160</v>
      </c>
      <c r="D117" s="110">
        <v>26.269929999999999</v>
      </c>
      <c r="E117" s="110">
        <v>7142</v>
      </c>
      <c r="F117" s="110">
        <v>322.33999999999997</v>
      </c>
      <c r="G117" s="110">
        <v>0.83973973073384955</v>
      </c>
      <c r="H117" s="110">
        <v>1.5741792710363818</v>
      </c>
      <c r="I117" s="110">
        <v>14164.080000000002</v>
      </c>
      <c r="J117" s="110">
        <v>386.17520000000002</v>
      </c>
      <c r="K117" s="110">
        <v>0.88435734704203206</v>
      </c>
      <c r="L117" s="110">
        <v>1.5341726408989094</v>
      </c>
      <c r="M117" s="110"/>
      <c r="N117" s="110"/>
      <c r="O117" s="110"/>
      <c r="P117" s="110">
        <v>48.319929999999999</v>
      </c>
      <c r="Q117" s="110"/>
      <c r="R117" s="110"/>
      <c r="S117" s="110"/>
      <c r="T117" s="110"/>
    </row>
    <row r="118" spans="1:20">
      <c r="A118" s="110" t="s">
        <v>44</v>
      </c>
      <c r="B118" s="110" t="s">
        <v>62</v>
      </c>
      <c r="C118" s="110">
        <v>10160</v>
      </c>
      <c r="D118" s="110">
        <v>26.269929999999999</v>
      </c>
      <c r="E118" s="110">
        <v>7142</v>
      </c>
      <c r="F118" s="110">
        <v>322.33999999999997</v>
      </c>
      <c r="G118" s="110">
        <v>0.83973973073384955</v>
      </c>
      <c r="H118" s="110">
        <v>1.5741792710363818</v>
      </c>
      <c r="I118" s="110">
        <v>13701.400000000001</v>
      </c>
      <c r="J118" s="110">
        <v>383.68209999999999</v>
      </c>
      <c r="K118" s="110">
        <v>0.88248844697463824</v>
      </c>
      <c r="L118" s="110">
        <v>1.5379366182259249</v>
      </c>
      <c r="M118" s="110"/>
      <c r="N118" s="110"/>
      <c r="O118" s="110"/>
      <c r="P118" s="110">
        <v>51.009509999999999</v>
      </c>
      <c r="Q118" s="110"/>
      <c r="R118" s="110"/>
      <c r="S118" s="110"/>
      <c r="T118" s="110"/>
    </row>
    <row r="119" spans="1:20">
      <c r="A119" s="110" t="s">
        <v>44</v>
      </c>
      <c r="B119" s="110" t="s">
        <v>62</v>
      </c>
      <c r="C119" s="110">
        <v>10160</v>
      </c>
      <c r="D119" s="110">
        <v>26.269929999999999</v>
      </c>
      <c r="E119" s="110">
        <v>7142</v>
      </c>
      <c r="F119" s="110">
        <v>322.33999999999997</v>
      </c>
      <c r="G119" s="110">
        <v>0.83973973073384955</v>
      </c>
      <c r="H119" s="110">
        <v>1.5741792710363818</v>
      </c>
      <c r="I119" s="110">
        <v>13424.33</v>
      </c>
      <c r="J119" s="110">
        <v>382.26319999999998</v>
      </c>
      <c r="K119" s="110">
        <v>0.88040879980704656</v>
      </c>
      <c r="L119" s="110">
        <v>1.5397067377777498</v>
      </c>
      <c r="M119" s="110"/>
      <c r="N119" s="110"/>
      <c r="O119" s="110"/>
      <c r="P119" s="110">
        <v>52.386699999999998</v>
      </c>
      <c r="Q119" s="110"/>
      <c r="R119" s="110"/>
      <c r="S119" s="110"/>
      <c r="T119" s="110"/>
    </row>
    <row r="120" spans="1:20">
      <c r="A120" s="110" t="s">
        <v>44</v>
      </c>
      <c r="B120" s="110" t="s">
        <v>62</v>
      </c>
      <c r="C120" s="110">
        <v>10160</v>
      </c>
      <c r="D120" s="110">
        <v>26.269929999999999</v>
      </c>
      <c r="E120" s="110">
        <v>7142</v>
      </c>
      <c r="F120" s="110">
        <v>322.33999999999997</v>
      </c>
      <c r="G120" s="110">
        <v>0.83973973073384955</v>
      </c>
      <c r="H120" s="110">
        <v>1.5741792710363818</v>
      </c>
      <c r="I120" s="110">
        <v>12876.689999999999</v>
      </c>
      <c r="J120" s="110">
        <v>379.52629999999999</v>
      </c>
      <c r="K120" s="110">
        <v>0.87823357654326251</v>
      </c>
      <c r="L120" s="110">
        <v>1.5264987235768863</v>
      </c>
      <c r="M120" s="110"/>
      <c r="N120" s="110"/>
      <c r="O120" s="110"/>
      <c r="P120" s="110">
        <v>54.702640000000002</v>
      </c>
      <c r="Q120" s="110"/>
      <c r="R120" s="110"/>
      <c r="S120" s="110"/>
      <c r="T120" s="110"/>
    </row>
    <row r="121" spans="1:20">
      <c r="A121" s="110" t="s">
        <v>44</v>
      </c>
      <c r="B121" s="110" t="s">
        <v>62</v>
      </c>
      <c r="C121" s="110">
        <v>10160</v>
      </c>
      <c r="D121" s="110">
        <v>26.269929999999999</v>
      </c>
      <c r="E121" s="110">
        <v>7142</v>
      </c>
      <c r="F121" s="110">
        <v>322.33999999999997</v>
      </c>
      <c r="G121" s="110">
        <v>0.83973973073384955</v>
      </c>
      <c r="H121" s="110">
        <v>1.5741792710363818</v>
      </c>
      <c r="I121" s="110">
        <v>12580</v>
      </c>
      <c r="J121" s="110">
        <v>378.08819999999997</v>
      </c>
      <c r="K121" s="110">
        <v>0.87876159716118463</v>
      </c>
      <c r="L121" s="110">
        <v>1.5282194286386697</v>
      </c>
      <c r="M121" s="110"/>
      <c r="N121" s="110"/>
      <c r="O121" s="110"/>
      <c r="P121" s="110">
        <v>55.750309999999999</v>
      </c>
      <c r="Q121" s="110"/>
      <c r="R121" s="110"/>
      <c r="S121" s="110"/>
      <c r="T121" s="110"/>
    </row>
    <row r="122" spans="1:20">
      <c r="A122" s="110" t="s">
        <v>44</v>
      </c>
      <c r="B122" s="110" t="s">
        <v>62</v>
      </c>
      <c r="C122" s="110">
        <v>10160</v>
      </c>
      <c r="D122" s="110">
        <v>26.269929999999999</v>
      </c>
      <c r="E122" s="110">
        <v>7142</v>
      </c>
      <c r="F122" s="110">
        <v>322.33999999999997</v>
      </c>
      <c r="G122" s="110">
        <v>0.83973973073384955</v>
      </c>
      <c r="H122" s="110">
        <v>1.5741792710363818</v>
      </c>
      <c r="I122" s="110">
        <v>12014.109999999999</v>
      </c>
      <c r="J122" s="110">
        <v>375.4307</v>
      </c>
      <c r="K122" s="110">
        <v>0.87705987834718324</v>
      </c>
      <c r="L122" s="110">
        <v>1.5311189627260613</v>
      </c>
      <c r="M122" s="110"/>
      <c r="N122" s="110"/>
      <c r="O122" s="110"/>
      <c r="P122" s="110">
        <v>57.41536</v>
      </c>
      <c r="Q122" s="110"/>
      <c r="R122" s="110"/>
      <c r="S122" s="110"/>
      <c r="T122" s="110"/>
    </row>
    <row r="123" spans="1:20">
      <c r="A123" s="110" t="s">
        <v>44</v>
      </c>
      <c r="B123" s="110" t="s">
        <v>62</v>
      </c>
      <c r="C123" s="110">
        <v>10160</v>
      </c>
      <c r="D123" s="110">
        <v>26.269929999999999</v>
      </c>
      <c r="E123" s="110">
        <v>7142</v>
      </c>
      <c r="F123" s="110">
        <v>322.33999999999997</v>
      </c>
      <c r="G123" s="110">
        <v>0.83973973073384955</v>
      </c>
      <c r="H123" s="110">
        <v>1.5741792710363818</v>
      </c>
      <c r="I123" s="110">
        <v>11737.59</v>
      </c>
      <c r="J123" s="110">
        <v>374.14010000000002</v>
      </c>
      <c r="K123" s="110">
        <v>0.87488565578242183</v>
      </c>
      <c r="L123" s="110">
        <v>1.5335564519386931</v>
      </c>
      <c r="M123" s="110"/>
      <c r="N123" s="110"/>
      <c r="O123" s="110"/>
      <c r="P123" s="110">
        <v>58.13176</v>
      </c>
      <c r="Q123" s="110"/>
      <c r="R123" s="110"/>
      <c r="S123" s="110"/>
      <c r="T123" s="110"/>
    </row>
    <row r="124" spans="1:20">
      <c r="A124" s="110" t="s">
        <v>44</v>
      </c>
      <c r="B124" s="110" t="s">
        <v>62</v>
      </c>
      <c r="C124" s="110">
        <v>10160</v>
      </c>
      <c r="D124" s="110">
        <v>26.269929999999999</v>
      </c>
      <c r="E124" s="110">
        <v>7142</v>
      </c>
      <c r="F124" s="110">
        <v>322.33999999999997</v>
      </c>
      <c r="G124" s="110">
        <v>0.83973973073384955</v>
      </c>
      <c r="H124" s="110">
        <v>1.5741792710363818</v>
      </c>
      <c r="I124" s="110">
        <v>11165.89</v>
      </c>
      <c r="J124" s="110">
        <v>371.50259999999997</v>
      </c>
      <c r="K124" s="110">
        <v>0.87764152880143231</v>
      </c>
      <c r="L124" s="110">
        <v>1.5189896738194277</v>
      </c>
      <c r="M124" s="110"/>
      <c r="N124" s="110"/>
      <c r="O124" s="110"/>
      <c r="P124" s="110">
        <v>59.422829999999998</v>
      </c>
      <c r="Q124" s="110"/>
      <c r="R124" s="110"/>
      <c r="S124" s="110"/>
      <c r="T124" s="110"/>
    </row>
    <row r="125" spans="1:20">
      <c r="A125" s="110" t="s">
        <v>44</v>
      </c>
      <c r="B125" s="110" t="s">
        <v>62</v>
      </c>
      <c r="C125" s="110">
        <v>10160</v>
      </c>
      <c r="D125" s="110">
        <v>26.269929999999999</v>
      </c>
      <c r="E125" s="110">
        <v>7142</v>
      </c>
      <c r="F125" s="110">
        <v>322.33999999999997</v>
      </c>
      <c r="G125" s="110">
        <v>0.83973973073384955</v>
      </c>
      <c r="H125" s="110">
        <v>1.5741792710363818</v>
      </c>
      <c r="I125" s="110">
        <v>10880.02</v>
      </c>
      <c r="J125" s="110">
        <v>370.17320000000001</v>
      </c>
      <c r="K125" s="110">
        <v>0.87733575627436577</v>
      </c>
      <c r="L125" s="110">
        <v>1.5207593536021589</v>
      </c>
      <c r="M125" s="110"/>
      <c r="N125" s="110"/>
      <c r="O125" s="110"/>
      <c r="P125" s="110">
        <v>59.998980000000003</v>
      </c>
      <c r="Q125" s="110"/>
      <c r="R125" s="110"/>
      <c r="S125" s="110"/>
      <c r="T125" s="110"/>
    </row>
    <row r="126" spans="1:20">
      <c r="A126" s="110" t="s">
        <v>44</v>
      </c>
      <c r="B126" s="110" t="s">
        <v>62</v>
      </c>
      <c r="C126" s="110">
        <v>10160</v>
      </c>
      <c r="D126" s="110">
        <v>26.269929999999999</v>
      </c>
      <c r="E126" s="110">
        <v>7142</v>
      </c>
      <c r="F126" s="110">
        <v>322.33999999999997</v>
      </c>
      <c r="G126" s="110">
        <v>0.83973973073384955</v>
      </c>
      <c r="H126" s="110">
        <v>1.5741792710363818</v>
      </c>
      <c r="I126" s="110">
        <v>10328.84</v>
      </c>
      <c r="J126" s="110">
        <v>367.57319999999999</v>
      </c>
      <c r="K126" s="110">
        <v>0.87659215600690543</v>
      </c>
      <c r="L126" s="110">
        <v>1.5006843828173644</v>
      </c>
      <c r="M126" s="110"/>
      <c r="N126" s="110"/>
      <c r="O126" s="110"/>
      <c r="P126" s="110">
        <v>61.017270000000003</v>
      </c>
      <c r="Q126" s="110"/>
      <c r="R126" s="110"/>
      <c r="S126" s="110"/>
      <c r="T126" s="110"/>
    </row>
    <row r="127" spans="1:20">
      <c r="A127" s="110" t="s">
        <v>44</v>
      </c>
      <c r="B127" s="110" t="s">
        <v>62</v>
      </c>
      <c r="C127" s="110">
        <v>9525</v>
      </c>
      <c r="D127" s="110">
        <v>26.269929999999999</v>
      </c>
      <c r="E127" s="110">
        <v>7142</v>
      </c>
      <c r="F127" s="110">
        <v>322.33999999999997</v>
      </c>
      <c r="G127" s="110">
        <v>0.83973973073384955</v>
      </c>
      <c r="H127" s="110">
        <v>1.5741792710363818</v>
      </c>
      <c r="I127" s="110">
        <v>14374.5</v>
      </c>
      <c r="J127" s="110">
        <v>389.1146</v>
      </c>
      <c r="K127" s="110">
        <v>0.88736785590940304</v>
      </c>
      <c r="L127" s="110">
        <v>1.524781149599947</v>
      </c>
      <c r="M127" s="110"/>
      <c r="N127" s="110"/>
      <c r="O127" s="110"/>
      <c r="P127" s="110">
        <v>29.663820000000001</v>
      </c>
      <c r="Q127" s="110"/>
      <c r="R127" s="110"/>
      <c r="S127" s="110"/>
      <c r="T127" s="110"/>
    </row>
    <row r="128" spans="1:20">
      <c r="A128" s="110" t="s">
        <v>44</v>
      </c>
      <c r="B128" s="110" t="s">
        <v>62</v>
      </c>
      <c r="C128" s="110">
        <v>9525</v>
      </c>
      <c r="D128" s="110">
        <v>26.269929999999999</v>
      </c>
      <c r="E128" s="110">
        <v>7142</v>
      </c>
      <c r="F128" s="110">
        <v>322.33999999999997</v>
      </c>
      <c r="G128" s="110">
        <v>0.83973973073384955</v>
      </c>
      <c r="H128" s="110">
        <v>1.5741792710363818</v>
      </c>
      <c r="I128" s="110">
        <v>14356.07</v>
      </c>
      <c r="J128" s="110">
        <v>388.89699999999999</v>
      </c>
      <c r="K128" s="110">
        <v>0.887183534187166</v>
      </c>
      <c r="L128" s="110">
        <v>1.5254256442564547</v>
      </c>
      <c r="M128" s="110"/>
      <c r="N128" s="110"/>
      <c r="O128" s="110"/>
      <c r="P128" s="110">
        <v>30.02807</v>
      </c>
      <c r="Q128" s="110"/>
      <c r="R128" s="110"/>
      <c r="S128" s="110"/>
      <c r="T128" s="110"/>
    </row>
    <row r="129" spans="1:20">
      <c r="A129" s="110" t="s">
        <v>44</v>
      </c>
      <c r="B129" s="110" t="s">
        <v>62</v>
      </c>
      <c r="C129" s="110">
        <v>9525</v>
      </c>
      <c r="D129" s="110">
        <v>26.269929999999999</v>
      </c>
      <c r="E129" s="110">
        <v>7142</v>
      </c>
      <c r="F129" s="110">
        <v>322.33999999999997</v>
      </c>
      <c r="G129" s="110">
        <v>0.83973973073384955</v>
      </c>
      <c r="H129" s="110">
        <v>1.5741792710363818</v>
      </c>
      <c r="I129" s="110">
        <v>14346.61</v>
      </c>
      <c r="J129" s="110">
        <v>388.78750000000002</v>
      </c>
      <c r="K129" s="110">
        <v>0.88709112908706167</v>
      </c>
      <c r="L129" s="110">
        <v>1.5257476981109666</v>
      </c>
      <c r="M129" s="110"/>
      <c r="N129" s="110"/>
      <c r="O129" s="110"/>
      <c r="P129" s="110">
        <v>30.2102</v>
      </c>
      <c r="Q129" s="110"/>
      <c r="R129" s="110"/>
      <c r="S129" s="110"/>
      <c r="T129" s="110"/>
    </row>
    <row r="130" spans="1:20">
      <c r="A130" s="110" t="s">
        <v>44</v>
      </c>
      <c r="B130" s="110" t="s">
        <v>62</v>
      </c>
      <c r="C130" s="110">
        <v>9525</v>
      </c>
      <c r="D130" s="110">
        <v>26.269929999999999</v>
      </c>
      <c r="E130" s="110">
        <v>7142</v>
      </c>
      <c r="F130" s="110">
        <v>322.33999999999997</v>
      </c>
      <c r="G130" s="110">
        <v>0.83973973073384955</v>
      </c>
      <c r="H130" s="110">
        <v>1.5741792710363818</v>
      </c>
      <c r="I130" s="110">
        <v>14294.31</v>
      </c>
      <c r="J130" s="110">
        <v>388.21420000000001</v>
      </c>
      <c r="K130" s="110">
        <v>0.88661555500494826</v>
      </c>
      <c r="L130" s="110">
        <v>1.5273979900252388</v>
      </c>
      <c r="M130" s="110"/>
      <c r="N130" s="110"/>
      <c r="O130" s="110"/>
      <c r="P130" s="110">
        <v>31.135680000000001</v>
      </c>
      <c r="Q130" s="110"/>
      <c r="R130" s="110"/>
      <c r="S130" s="110"/>
      <c r="T130" s="110"/>
    </row>
    <row r="131" spans="1:20">
      <c r="A131" s="110" t="s">
        <v>44</v>
      </c>
      <c r="B131" s="110" t="s">
        <v>62</v>
      </c>
      <c r="C131" s="110">
        <v>9525</v>
      </c>
      <c r="D131" s="110">
        <v>26.269929999999999</v>
      </c>
      <c r="E131" s="110">
        <v>7142</v>
      </c>
      <c r="F131" s="110">
        <v>322.33999999999997</v>
      </c>
      <c r="G131" s="110">
        <v>0.83973973073384955</v>
      </c>
      <c r="H131" s="110">
        <v>1.5741792710363818</v>
      </c>
      <c r="I131" s="110">
        <v>14177.47</v>
      </c>
      <c r="J131" s="110">
        <v>387.03629999999998</v>
      </c>
      <c r="K131" s="110">
        <v>0.88562303336737647</v>
      </c>
      <c r="L131" s="110">
        <v>1.5306763913071089</v>
      </c>
      <c r="M131" s="110"/>
      <c r="N131" s="110"/>
      <c r="O131" s="110"/>
      <c r="P131" s="110">
        <v>32.99474</v>
      </c>
      <c r="Q131" s="110"/>
      <c r="R131" s="110"/>
      <c r="S131" s="110"/>
      <c r="T131" s="110"/>
    </row>
    <row r="132" spans="1:20">
      <c r="A132" s="110" t="s">
        <v>44</v>
      </c>
      <c r="B132" s="110" t="s">
        <v>62</v>
      </c>
      <c r="C132" s="110">
        <v>9525</v>
      </c>
      <c r="D132" s="110">
        <v>26.269929999999999</v>
      </c>
      <c r="E132" s="110">
        <v>7142</v>
      </c>
      <c r="F132" s="110">
        <v>322.33999999999997</v>
      </c>
      <c r="G132" s="110">
        <v>0.83973973073384955</v>
      </c>
      <c r="H132" s="110">
        <v>1.5741792710363818</v>
      </c>
      <c r="I132" s="110">
        <v>13939.269999999999</v>
      </c>
      <c r="J132" s="110">
        <v>384.93439999999998</v>
      </c>
      <c r="K132" s="110">
        <v>0.88368065887730329</v>
      </c>
      <c r="L132" s="110">
        <v>1.5361699204750225</v>
      </c>
      <c r="M132" s="110"/>
      <c r="N132" s="110"/>
      <c r="O132" s="110"/>
      <c r="P132" s="110">
        <v>36.182870000000001</v>
      </c>
      <c r="Q132" s="110"/>
      <c r="R132" s="110"/>
      <c r="S132" s="110"/>
      <c r="T132" s="110"/>
    </row>
    <row r="133" spans="1:20">
      <c r="A133" s="110" t="s">
        <v>44</v>
      </c>
      <c r="B133" s="110" t="s">
        <v>62</v>
      </c>
      <c r="C133" s="110">
        <v>9525</v>
      </c>
      <c r="D133" s="110">
        <v>26.269929999999999</v>
      </c>
      <c r="E133" s="110">
        <v>7142</v>
      </c>
      <c r="F133" s="110">
        <v>322.33999999999997</v>
      </c>
      <c r="G133" s="110">
        <v>0.83973973073384955</v>
      </c>
      <c r="H133" s="110">
        <v>1.5741792710363818</v>
      </c>
      <c r="I133" s="110">
        <v>13797.11</v>
      </c>
      <c r="J133" s="110">
        <v>383.82130000000001</v>
      </c>
      <c r="K133" s="110">
        <v>0.8824494661479283</v>
      </c>
      <c r="L133" s="110">
        <v>1.5388149885167213</v>
      </c>
      <c r="M133" s="110"/>
      <c r="N133" s="110"/>
      <c r="O133" s="110"/>
      <c r="P133" s="110">
        <v>37.787430000000001</v>
      </c>
      <c r="Q133" s="110"/>
      <c r="R133" s="110"/>
      <c r="S133" s="110"/>
      <c r="T133" s="110"/>
    </row>
    <row r="134" spans="1:20">
      <c r="A134" s="110" t="s">
        <v>44</v>
      </c>
      <c r="B134" s="110" t="s">
        <v>62</v>
      </c>
      <c r="C134" s="110">
        <v>9525</v>
      </c>
      <c r="D134" s="110">
        <v>26.269929999999999</v>
      </c>
      <c r="E134" s="110">
        <v>7142</v>
      </c>
      <c r="F134" s="110">
        <v>322.33999999999997</v>
      </c>
      <c r="G134" s="110">
        <v>0.83973973073384955</v>
      </c>
      <c r="H134" s="110">
        <v>1.5741792710363818</v>
      </c>
      <c r="I134" s="110">
        <v>13557.52</v>
      </c>
      <c r="J134" s="110">
        <v>382.09410000000003</v>
      </c>
      <c r="K134" s="110">
        <v>0.88006281289291632</v>
      </c>
      <c r="L134" s="110">
        <v>1.5425223194075595</v>
      </c>
      <c r="M134" s="110"/>
      <c r="N134" s="110"/>
      <c r="O134" s="110"/>
      <c r="P134" s="110">
        <v>40.159109999999998</v>
      </c>
      <c r="Q134" s="110"/>
      <c r="R134" s="110"/>
      <c r="S134" s="110"/>
      <c r="T134" s="110"/>
    </row>
    <row r="135" spans="1:20">
      <c r="A135" s="110" t="s">
        <v>44</v>
      </c>
      <c r="B135" s="110" t="s">
        <v>62</v>
      </c>
      <c r="C135" s="110">
        <v>9525</v>
      </c>
      <c r="D135" s="110">
        <v>26.269929999999999</v>
      </c>
      <c r="E135" s="110">
        <v>7142</v>
      </c>
      <c r="F135" s="110">
        <v>322.33999999999997</v>
      </c>
      <c r="G135" s="110">
        <v>0.83973973073384955</v>
      </c>
      <c r="H135" s="110">
        <v>1.5741792710363818</v>
      </c>
      <c r="I135" s="110">
        <v>13425.01</v>
      </c>
      <c r="J135" s="110">
        <v>381.1936</v>
      </c>
      <c r="K135" s="110">
        <v>0.87861028049037726</v>
      </c>
      <c r="L135" s="110">
        <v>1.5443717707182791</v>
      </c>
      <c r="M135" s="110"/>
      <c r="N135" s="110"/>
      <c r="O135" s="110"/>
      <c r="P135" s="110">
        <v>41.317210000000003</v>
      </c>
      <c r="Q135" s="110"/>
      <c r="R135" s="110"/>
      <c r="S135" s="110"/>
      <c r="T135" s="110"/>
    </row>
    <row r="136" spans="1:20">
      <c r="A136" s="110" t="s">
        <v>44</v>
      </c>
      <c r="B136" s="110" t="s">
        <v>62</v>
      </c>
      <c r="C136" s="110">
        <v>9525</v>
      </c>
      <c r="D136" s="110">
        <v>26.269929999999999</v>
      </c>
      <c r="E136" s="110">
        <v>7142</v>
      </c>
      <c r="F136" s="110">
        <v>322.33999999999997</v>
      </c>
      <c r="G136" s="110">
        <v>0.83973973073384955</v>
      </c>
      <c r="H136" s="110">
        <v>1.5741792710363818</v>
      </c>
      <c r="I136" s="110">
        <v>13188.939999999999</v>
      </c>
      <c r="J136" s="110">
        <v>379.66890000000001</v>
      </c>
      <c r="K136" s="110">
        <v>0.87576062798120302</v>
      </c>
      <c r="L136" s="110">
        <v>1.5473596272483077</v>
      </c>
      <c r="M136" s="110"/>
      <c r="N136" s="110"/>
      <c r="O136" s="110"/>
      <c r="P136" s="110">
        <v>43.18544</v>
      </c>
      <c r="Q136" s="110"/>
      <c r="R136" s="110"/>
      <c r="S136" s="110"/>
      <c r="T136" s="110"/>
    </row>
    <row r="137" spans="1:20">
      <c r="A137" s="110" t="s">
        <v>44</v>
      </c>
      <c r="B137" s="110" t="s">
        <v>62</v>
      </c>
      <c r="C137" s="110">
        <v>9525</v>
      </c>
      <c r="D137" s="110">
        <v>26.269929999999999</v>
      </c>
      <c r="E137" s="110">
        <v>7142</v>
      </c>
      <c r="F137" s="110">
        <v>322.33999999999997</v>
      </c>
      <c r="G137" s="110">
        <v>0.83973973073384955</v>
      </c>
      <c r="H137" s="110">
        <v>1.5741792710363818</v>
      </c>
      <c r="I137" s="110">
        <v>13061.439999999999</v>
      </c>
      <c r="J137" s="110">
        <v>378.87549999999999</v>
      </c>
      <c r="K137" s="110">
        <v>0.87480031768188726</v>
      </c>
      <c r="L137" s="110">
        <v>1.5323116034859479</v>
      </c>
      <c r="M137" s="110"/>
      <c r="N137" s="110"/>
      <c r="O137" s="110"/>
      <c r="P137" s="110">
        <v>44.110660000000003</v>
      </c>
      <c r="Q137" s="110"/>
      <c r="R137" s="110"/>
      <c r="S137" s="110"/>
      <c r="T137" s="110"/>
    </row>
    <row r="138" spans="1:20">
      <c r="A138" s="110" t="s">
        <v>44</v>
      </c>
      <c r="B138" s="110" t="s">
        <v>62</v>
      </c>
      <c r="C138" s="110">
        <v>9525</v>
      </c>
      <c r="D138" s="110">
        <v>26.269929999999999</v>
      </c>
      <c r="E138" s="110">
        <v>7142</v>
      </c>
      <c r="F138" s="110">
        <v>322.33999999999997</v>
      </c>
      <c r="G138" s="110">
        <v>0.83973973073384955</v>
      </c>
      <c r="H138" s="110">
        <v>1.5741792710363818</v>
      </c>
      <c r="I138" s="110">
        <v>12639.52</v>
      </c>
      <c r="J138" s="110">
        <v>376.41030000000001</v>
      </c>
      <c r="K138" s="110">
        <v>0.87548938506509322</v>
      </c>
      <c r="L138" s="110">
        <v>1.5368971401288056</v>
      </c>
      <c r="M138" s="110"/>
      <c r="N138" s="110"/>
      <c r="O138" s="110"/>
      <c r="P138" s="110">
        <v>46.736449999999998</v>
      </c>
      <c r="Q138" s="110"/>
      <c r="R138" s="110"/>
      <c r="S138" s="110"/>
      <c r="T138" s="110"/>
    </row>
    <row r="139" spans="1:20">
      <c r="A139" s="110" t="s">
        <v>44</v>
      </c>
      <c r="B139" s="110" t="s">
        <v>62</v>
      </c>
      <c r="C139" s="110">
        <v>9525</v>
      </c>
      <c r="D139" s="110">
        <v>26.269929999999999</v>
      </c>
      <c r="E139" s="110">
        <v>7142</v>
      </c>
      <c r="F139" s="110">
        <v>322.33999999999997</v>
      </c>
      <c r="G139" s="110">
        <v>0.83973973073384955</v>
      </c>
      <c r="H139" s="110">
        <v>1.5741792710363818</v>
      </c>
      <c r="I139" s="110">
        <v>12421.59</v>
      </c>
      <c r="J139" s="110">
        <v>375.21749999999997</v>
      </c>
      <c r="K139" s="110">
        <v>0.87517105657322913</v>
      </c>
      <c r="L139" s="110">
        <v>1.53892498270523</v>
      </c>
      <c r="M139" s="110"/>
      <c r="N139" s="110"/>
      <c r="O139" s="110"/>
      <c r="P139" s="110">
        <v>47.867699999999999</v>
      </c>
      <c r="Q139" s="110"/>
      <c r="R139" s="110"/>
      <c r="S139" s="110"/>
      <c r="T139" s="110"/>
    </row>
    <row r="140" spans="1:20">
      <c r="A140" s="110" t="s">
        <v>44</v>
      </c>
      <c r="B140" s="110" t="s">
        <v>62</v>
      </c>
      <c r="C140" s="110">
        <v>9525</v>
      </c>
      <c r="D140" s="110">
        <v>26.269929999999999</v>
      </c>
      <c r="E140" s="110">
        <v>7142</v>
      </c>
      <c r="F140" s="110">
        <v>322.33999999999997</v>
      </c>
      <c r="G140" s="110">
        <v>0.83973973073384955</v>
      </c>
      <c r="H140" s="110">
        <v>1.5741792710363818</v>
      </c>
      <c r="I140" s="110">
        <v>11976.82</v>
      </c>
      <c r="J140" s="110">
        <v>372.8775</v>
      </c>
      <c r="K140" s="110">
        <v>0.87286309394278128</v>
      </c>
      <c r="L140" s="110">
        <v>1.5425795315438731</v>
      </c>
      <c r="M140" s="110"/>
      <c r="N140" s="110"/>
      <c r="O140" s="110"/>
      <c r="P140" s="110">
        <v>49.858179999999997</v>
      </c>
      <c r="Q140" s="110"/>
      <c r="R140" s="110"/>
      <c r="S140" s="110"/>
      <c r="T140" s="110"/>
    </row>
    <row r="141" spans="1:20">
      <c r="A141" s="110" t="s">
        <v>44</v>
      </c>
      <c r="B141" s="110" t="s">
        <v>62</v>
      </c>
      <c r="C141" s="110">
        <v>9525</v>
      </c>
      <c r="D141" s="110">
        <v>26.269929999999999</v>
      </c>
      <c r="E141" s="110">
        <v>7142</v>
      </c>
      <c r="F141" s="110">
        <v>322.33999999999997</v>
      </c>
      <c r="G141" s="110">
        <v>0.83973973073384955</v>
      </c>
      <c r="H141" s="110">
        <v>1.5741792710363818</v>
      </c>
      <c r="I141" s="110">
        <v>11732.61</v>
      </c>
      <c r="J141" s="110">
        <v>371.6318</v>
      </c>
      <c r="K141" s="110">
        <v>0.87058233319576839</v>
      </c>
      <c r="L141" s="110">
        <v>1.5443630112725668</v>
      </c>
      <c r="M141" s="110"/>
      <c r="N141" s="110"/>
      <c r="O141" s="110"/>
      <c r="P141" s="110">
        <v>50.804319999999997</v>
      </c>
      <c r="Q141" s="110"/>
      <c r="R141" s="110"/>
      <c r="S141" s="110"/>
      <c r="T141" s="110"/>
    </row>
    <row r="142" spans="1:20">
      <c r="A142" s="110" t="s">
        <v>44</v>
      </c>
      <c r="B142" s="110" t="s">
        <v>62</v>
      </c>
      <c r="C142" s="110">
        <v>9525</v>
      </c>
      <c r="D142" s="110">
        <v>26.269929999999999</v>
      </c>
      <c r="E142" s="110">
        <v>7142</v>
      </c>
      <c r="F142" s="110">
        <v>322.33999999999997</v>
      </c>
      <c r="G142" s="110">
        <v>0.83973973073384955</v>
      </c>
      <c r="H142" s="110">
        <v>1.5741792710363818</v>
      </c>
      <c r="I142" s="110">
        <v>11264.17</v>
      </c>
      <c r="J142" s="110">
        <v>369.27890000000002</v>
      </c>
      <c r="K142" s="110">
        <v>0.87291232222082504</v>
      </c>
      <c r="L142" s="110">
        <v>1.526456712258597</v>
      </c>
      <c r="M142" s="110"/>
      <c r="N142" s="110"/>
      <c r="O142" s="110"/>
      <c r="P142" s="110">
        <v>52.392490000000002</v>
      </c>
      <c r="Q142" s="110"/>
      <c r="R142" s="110"/>
      <c r="S142" s="110"/>
      <c r="T142" s="110"/>
    </row>
    <row r="143" spans="1:20">
      <c r="A143" s="110" t="s">
        <v>44</v>
      </c>
      <c r="B143" s="110" t="s">
        <v>62</v>
      </c>
      <c r="C143" s="110">
        <v>9525</v>
      </c>
      <c r="D143" s="110">
        <v>26.269929999999999</v>
      </c>
      <c r="E143" s="110">
        <v>7142</v>
      </c>
      <c r="F143" s="110">
        <v>322.33999999999997</v>
      </c>
      <c r="G143" s="110">
        <v>0.83973973073384955</v>
      </c>
      <c r="H143" s="110">
        <v>1.5741792710363818</v>
      </c>
      <c r="I143" s="110">
        <v>11012.09</v>
      </c>
      <c r="J143" s="110">
        <v>368.029</v>
      </c>
      <c r="K143" s="110">
        <v>0.87299348461864301</v>
      </c>
      <c r="L143" s="110">
        <v>1.5301198361985433</v>
      </c>
      <c r="M143" s="110"/>
      <c r="N143" s="110"/>
      <c r="O143" s="110"/>
      <c r="P143" s="110">
        <v>53.137129999999999</v>
      </c>
      <c r="Q143" s="110"/>
      <c r="R143" s="110"/>
      <c r="S143" s="110"/>
      <c r="T143" s="110"/>
    </row>
    <row r="144" spans="1:20">
      <c r="A144" s="110" t="s">
        <v>44</v>
      </c>
      <c r="B144" s="110" t="s">
        <v>62</v>
      </c>
      <c r="C144" s="110">
        <v>9525</v>
      </c>
      <c r="D144" s="110">
        <v>26.269929999999999</v>
      </c>
      <c r="E144" s="110">
        <v>7142</v>
      </c>
      <c r="F144" s="110">
        <v>322.33999999999997</v>
      </c>
      <c r="G144" s="110">
        <v>0.83973973073384955</v>
      </c>
      <c r="H144" s="110">
        <v>1.5741792710363818</v>
      </c>
      <c r="I144" s="110">
        <v>10538.06</v>
      </c>
      <c r="J144" s="110">
        <v>365.70589999999999</v>
      </c>
      <c r="K144" s="110">
        <v>0.87067662998084128</v>
      </c>
      <c r="L144" s="110">
        <v>1.5355395751616221</v>
      </c>
      <c r="M144" s="110"/>
      <c r="N144" s="110"/>
      <c r="O144" s="110"/>
      <c r="P144" s="110">
        <v>54.363880000000002</v>
      </c>
      <c r="Q144" s="110"/>
      <c r="R144" s="110"/>
      <c r="S144" s="110"/>
      <c r="T144" s="110"/>
    </row>
    <row r="145" spans="1:20">
      <c r="A145" s="110" t="s">
        <v>44</v>
      </c>
      <c r="B145" s="110" t="s">
        <v>62</v>
      </c>
      <c r="C145" s="110">
        <v>9525</v>
      </c>
      <c r="D145" s="110">
        <v>26.269929999999999</v>
      </c>
      <c r="E145" s="110">
        <v>7142</v>
      </c>
      <c r="F145" s="110">
        <v>322.33999999999997</v>
      </c>
      <c r="G145" s="110">
        <v>0.83973973073384955</v>
      </c>
      <c r="H145" s="110">
        <v>1.5741792710363818</v>
      </c>
      <c r="I145" s="110">
        <v>10293.73</v>
      </c>
      <c r="J145" s="110">
        <v>364.50060000000002</v>
      </c>
      <c r="K145" s="110">
        <v>0.87222270102821553</v>
      </c>
      <c r="L145" s="110">
        <v>1.5130811101515476</v>
      </c>
      <c r="M145" s="110"/>
      <c r="N145" s="110"/>
      <c r="O145" s="110"/>
      <c r="P145" s="110">
        <v>54.930720000000001</v>
      </c>
      <c r="Q145" s="110"/>
      <c r="R145" s="110"/>
      <c r="S145" s="110"/>
      <c r="T145" s="110"/>
    </row>
    <row r="146" spans="1:20">
      <c r="A146" s="110" t="s">
        <v>44</v>
      </c>
      <c r="B146" s="110" t="s">
        <v>62</v>
      </c>
      <c r="C146" s="110">
        <v>9525</v>
      </c>
      <c r="D146" s="110">
        <v>26.269929999999999</v>
      </c>
      <c r="E146" s="110">
        <v>7142</v>
      </c>
      <c r="F146" s="110">
        <v>322.33999999999997</v>
      </c>
      <c r="G146" s="110">
        <v>0.83973973073384955</v>
      </c>
      <c r="H146" s="110">
        <v>1.5741792710363818</v>
      </c>
      <c r="I146" s="110">
        <v>10067.17</v>
      </c>
      <c r="J146" s="110">
        <v>363.38200000000001</v>
      </c>
      <c r="K146" s="110">
        <v>0.8737846467550261</v>
      </c>
      <c r="L146" s="110">
        <v>1.5147026120764753</v>
      </c>
      <c r="M146" s="110"/>
      <c r="N146" s="110"/>
      <c r="O146" s="110"/>
      <c r="P146" s="110">
        <v>55.427120000000002</v>
      </c>
      <c r="Q146" s="110"/>
      <c r="R146" s="110"/>
      <c r="S146" s="110"/>
      <c r="T146" s="110"/>
    </row>
    <row r="147" spans="1:20">
      <c r="A147" s="110" t="s">
        <v>44</v>
      </c>
      <c r="B147" s="110" t="s">
        <v>62</v>
      </c>
      <c r="C147" s="110">
        <v>9525</v>
      </c>
      <c r="D147" s="110">
        <v>26.269929999999999</v>
      </c>
      <c r="E147" s="110">
        <v>7142</v>
      </c>
      <c r="F147" s="110">
        <v>322.33999999999997</v>
      </c>
      <c r="G147" s="110">
        <v>0.83973973073384955</v>
      </c>
      <c r="H147" s="110">
        <v>1.5741792710363818</v>
      </c>
      <c r="I147" s="110">
        <v>9978.9680000000008</v>
      </c>
      <c r="J147" s="110">
        <v>362.94549999999998</v>
      </c>
      <c r="K147" s="110">
        <v>0.87410330970965511</v>
      </c>
      <c r="L147" s="110">
        <v>1.5153460492646862</v>
      </c>
      <c r="M147" s="110"/>
      <c r="N147" s="110"/>
      <c r="O147" s="110"/>
      <c r="P147" s="110">
        <v>55.614460000000001</v>
      </c>
      <c r="Q147" s="110"/>
      <c r="R147" s="110"/>
      <c r="S147" s="110"/>
      <c r="T147" s="110"/>
    </row>
    <row r="148" spans="1:20">
      <c r="A148" s="110" t="s">
        <v>44</v>
      </c>
      <c r="B148" s="110" t="s">
        <v>62</v>
      </c>
      <c r="C148" s="110">
        <v>8890</v>
      </c>
      <c r="D148" s="110">
        <v>26.269929999999999</v>
      </c>
      <c r="E148" s="110">
        <v>7142</v>
      </c>
      <c r="F148" s="110">
        <v>322.33999999999997</v>
      </c>
      <c r="G148" s="110">
        <v>0.83973973073384955</v>
      </c>
      <c r="H148" s="110">
        <v>1.5741792710363818</v>
      </c>
      <c r="I148" s="110">
        <v>13181.77</v>
      </c>
      <c r="J148" s="110">
        <v>381.15289999999999</v>
      </c>
      <c r="K148" s="110">
        <v>0.87822877620944362</v>
      </c>
      <c r="L148" s="110">
        <v>1.540688446860889</v>
      </c>
      <c r="M148" s="110"/>
      <c r="N148" s="110"/>
      <c r="O148" s="110"/>
      <c r="P148" s="110">
        <v>27.334</v>
      </c>
      <c r="Q148" s="110"/>
      <c r="R148" s="110"/>
      <c r="S148" s="110"/>
      <c r="T148" s="110"/>
    </row>
    <row r="149" spans="1:20">
      <c r="A149" s="110" t="s">
        <v>44</v>
      </c>
      <c r="B149" s="110" t="s">
        <v>62</v>
      </c>
      <c r="C149" s="110">
        <v>8890</v>
      </c>
      <c r="D149" s="110">
        <v>26.269929999999999</v>
      </c>
      <c r="E149" s="110">
        <v>7142</v>
      </c>
      <c r="F149" s="110">
        <v>322.33999999999997</v>
      </c>
      <c r="G149" s="110">
        <v>0.83973973073384955</v>
      </c>
      <c r="H149" s="110">
        <v>1.5741792710363818</v>
      </c>
      <c r="I149" s="110">
        <v>13161.49</v>
      </c>
      <c r="J149" s="110">
        <v>380.89929999999998</v>
      </c>
      <c r="K149" s="110">
        <v>0.87775383534277451</v>
      </c>
      <c r="L149" s="110">
        <v>1.5414780239741408</v>
      </c>
      <c r="M149" s="110"/>
      <c r="N149" s="110"/>
      <c r="O149" s="110"/>
      <c r="P149" s="110">
        <v>27.738379999999999</v>
      </c>
      <c r="Q149" s="110"/>
      <c r="R149" s="110"/>
      <c r="S149" s="110"/>
      <c r="T149" s="110"/>
    </row>
    <row r="150" spans="1:20">
      <c r="A150" s="110" t="s">
        <v>44</v>
      </c>
      <c r="B150" s="110" t="s">
        <v>62</v>
      </c>
      <c r="C150" s="110">
        <v>8890</v>
      </c>
      <c r="D150" s="110">
        <v>26.269929999999999</v>
      </c>
      <c r="E150" s="110">
        <v>7142</v>
      </c>
      <c r="F150" s="110">
        <v>322.33999999999997</v>
      </c>
      <c r="G150" s="110">
        <v>0.83973973073384955</v>
      </c>
      <c r="H150" s="110">
        <v>1.5741792710363818</v>
      </c>
      <c r="I150" s="110">
        <v>13151.230000000001</v>
      </c>
      <c r="J150" s="110">
        <v>380.7731</v>
      </c>
      <c r="K150" s="110">
        <v>0.87751562838557773</v>
      </c>
      <c r="L150" s="110">
        <v>1.5418691026032196</v>
      </c>
      <c r="M150" s="110"/>
      <c r="N150" s="110"/>
      <c r="O150" s="110"/>
      <c r="P150" s="110">
        <v>27.940580000000001</v>
      </c>
      <c r="Q150" s="110"/>
      <c r="R150" s="110"/>
      <c r="S150" s="110"/>
      <c r="T150" s="110"/>
    </row>
    <row r="151" spans="1:20">
      <c r="A151" s="110" t="s">
        <v>44</v>
      </c>
      <c r="B151" s="110" t="s">
        <v>62</v>
      </c>
      <c r="C151" s="110">
        <v>8890</v>
      </c>
      <c r="D151" s="110">
        <v>26.269929999999999</v>
      </c>
      <c r="E151" s="110">
        <v>7142</v>
      </c>
      <c r="F151" s="110">
        <v>322.33999999999997</v>
      </c>
      <c r="G151" s="110">
        <v>0.83973973073384955</v>
      </c>
      <c r="H151" s="110">
        <v>1.5741792710363818</v>
      </c>
      <c r="I151" s="110">
        <v>13111.070000000002</v>
      </c>
      <c r="J151" s="110">
        <v>380.29669999999999</v>
      </c>
      <c r="K151" s="110">
        <v>0.87660334950842145</v>
      </c>
      <c r="L151" s="110">
        <v>1.5433274746589729</v>
      </c>
      <c r="M151" s="110"/>
      <c r="N151" s="110"/>
      <c r="O151" s="110"/>
      <c r="P151" s="110">
        <v>28.69689</v>
      </c>
      <c r="Q151" s="110"/>
      <c r="R151" s="110"/>
      <c r="S151" s="110"/>
      <c r="T151" s="110"/>
    </row>
    <row r="152" spans="1:20">
      <c r="A152" s="110" t="s">
        <v>44</v>
      </c>
      <c r="B152" s="110" t="s">
        <v>62</v>
      </c>
      <c r="C152" s="110">
        <v>8890</v>
      </c>
      <c r="D152" s="110">
        <v>26.269929999999999</v>
      </c>
      <c r="E152" s="110">
        <v>7142</v>
      </c>
      <c r="F152" s="110">
        <v>322.33999999999997</v>
      </c>
      <c r="G152" s="110">
        <v>0.83973973073384955</v>
      </c>
      <c r="H152" s="110">
        <v>1.5741792710363818</v>
      </c>
      <c r="I152" s="110">
        <v>13003.880000000001</v>
      </c>
      <c r="J152" s="110">
        <v>379.13200000000001</v>
      </c>
      <c r="K152" s="110">
        <v>0.87600782445732805</v>
      </c>
      <c r="L152" s="110">
        <v>1.5302727825310256</v>
      </c>
      <c r="M152" s="110"/>
      <c r="N152" s="110"/>
      <c r="O152" s="110"/>
      <c r="P152" s="110">
        <v>30.507629999999999</v>
      </c>
      <c r="Q152" s="110"/>
      <c r="R152" s="110"/>
      <c r="S152" s="110"/>
      <c r="T152" s="110"/>
    </row>
    <row r="153" spans="1:20">
      <c r="A153" s="110" t="s">
        <v>44</v>
      </c>
      <c r="B153" s="110" t="s">
        <v>62</v>
      </c>
      <c r="C153" s="110">
        <v>8890</v>
      </c>
      <c r="D153" s="110">
        <v>26.269929999999999</v>
      </c>
      <c r="E153" s="110">
        <v>7142</v>
      </c>
      <c r="F153" s="110">
        <v>322.33999999999997</v>
      </c>
      <c r="G153" s="110">
        <v>0.83973973073384955</v>
      </c>
      <c r="H153" s="110">
        <v>1.5741792710363818</v>
      </c>
      <c r="I153" s="110">
        <v>12803.19</v>
      </c>
      <c r="J153" s="110">
        <v>377.25220000000002</v>
      </c>
      <c r="K153" s="110">
        <v>0.87527630990367344</v>
      </c>
      <c r="L153" s="110">
        <v>1.5356327655295032</v>
      </c>
      <c r="M153" s="110"/>
      <c r="N153" s="110"/>
      <c r="O153" s="110"/>
      <c r="P153" s="110">
        <v>33.284680000000002</v>
      </c>
      <c r="Q153" s="110"/>
      <c r="R153" s="110"/>
      <c r="S153" s="110"/>
      <c r="T153" s="110"/>
    </row>
    <row r="154" spans="1:20">
      <c r="A154" s="110" t="s">
        <v>44</v>
      </c>
      <c r="B154" s="110" t="s">
        <v>62</v>
      </c>
      <c r="C154" s="110">
        <v>8890</v>
      </c>
      <c r="D154" s="110">
        <v>26.269929999999999</v>
      </c>
      <c r="E154" s="110">
        <v>7142</v>
      </c>
      <c r="F154" s="110">
        <v>322.33999999999997</v>
      </c>
      <c r="G154" s="110">
        <v>0.83973973073384955</v>
      </c>
      <c r="H154" s="110">
        <v>1.5741792710363818</v>
      </c>
      <c r="I154" s="110">
        <v>12692.49</v>
      </c>
      <c r="J154" s="110">
        <v>376.32830000000001</v>
      </c>
      <c r="K154" s="110">
        <v>0.8748643920102831</v>
      </c>
      <c r="L154" s="110">
        <v>1.5381172624728436</v>
      </c>
      <c r="M154" s="110"/>
      <c r="N154" s="110"/>
      <c r="O154" s="110"/>
      <c r="P154" s="110">
        <v>34.57226</v>
      </c>
      <c r="Q154" s="110"/>
      <c r="R154" s="110"/>
      <c r="S154" s="110"/>
      <c r="T154" s="110"/>
    </row>
    <row r="155" spans="1:20">
      <c r="A155" s="110" t="s">
        <v>44</v>
      </c>
      <c r="B155" s="110" t="s">
        <v>62</v>
      </c>
      <c r="C155" s="110">
        <v>8890</v>
      </c>
      <c r="D155" s="110">
        <v>26.269929999999999</v>
      </c>
      <c r="E155" s="110">
        <v>7142</v>
      </c>
      <c r="F155" s="110">
        <v>322.33999999999997</v>
      </c>
      <c r="G155" s="110">
        <v>0.83973973073384955</v>
      </c>
      <c r="H155" s="110">
        <v>1.5741792710363818</v>
      </c>
      <c r="I155" s="110">
        <v>12502.08</v>
      </c>
      <c r="J155" s="110">
        <v>374.85180000000003</v>
      </c>
      <c r="K155" s="110">
        <v>0.8740160060781158</v>
      </c>
      <c r="L155" s="110">
        <v>1.5419299268813191</v>
      </c>
      <c r="M155" s="110"/>
      <c r="N155" s="110"/>
      <c r="O155" s="110"/>
      <c r="P155" s="110">
        <v>36.578539999999997</v>
      </c>
      <c r="Q155" s="110"/>
      <c r="R155" s="110"/>
      <c r="S155" s="110"/>
      <c r="T155" s="110"/>
    </row>
    <row r="156" spans="1:20">
      <c r="A156" s="110" t="s">
        <v>44</v>
      </c>
      <c r="B156" s="110" t="s">
        <v>62</v>
      </c>
      <c r="C156" s="110">
        <v>8890</v>
      </c>
      <c r="D156" s="110">
        <v>26.269929999999999</v>
      </c>
      <c r="E156" s="110">
        <v>7142</v>
      </c>
      <c r="F156" s="110">
        <v>322.33999999999997</v>
      </c>
      <c r="G156" s="110">
        <v>0.83973973073384955</v>
      </c>
      <c r="H156" s="110">
        <v>1.5741792710363818</v>
      </c>
      <c r="I156" s="110">
        <v>12387.77</v>
      </c>
      <c r="J156" s="110">
        <v>374.02890000000002</v>
      </c>
      <c r="K156" s="110">
        <v>0.87341324232073125</v>
      </c>
      <c r="L156" s="110">
        <v>1.5439534830025243</v>
      </c>
      <c r="M156" s="110"/>
      <c r="N156" s="110"/>
      <c r="O156" s="110"/>
      <c r="P156" s="110">
        <v>37.644570000000002</v>
      </c>
      <c r="Q156" s="110"/>
      <c r="R156" s="110"/>
      <c r="S156" s="110"/>
      <c r="T156" s="110"/>
    </row>
    <row r="157" spans="1:20">
      <c r="A157" s="110" t="s">
        <v>44</v>
      </c>
      <c r="B157" s="110" t="s">
        <v>62</v>
      </c>
      <c r="C157" s="110">
        <v>8890</v>
      </c>
      <c r="D157" s="110">
        <v>26.269929999999999</v>
      </c>
      <c r="E157" s="110">
        <v>7142</v>
      </c>
      <c r="F157" s="110">
        <v>322.33999999999997</v>
      </c>
      <c r="G157" s="110">
        <v>0.83973973073384955</v>
      </c>
      <c r="H157" s="110">
        <v>1.5741792710363818</v>
      </c>
      <c r="I157" s="110">
        <v>12191.56</v>
      </c>
      <c r="J157" s="110">
        <v>372.68950000000001</v>
      </c>
      <c r="K157" s="110">
        <v>0.87201720016770068</v>
      </c>
      <c r="L157" s="110">
        <v>1.5470004661329841</v>
      </c>
      <c r="M157" s="110"/>
      <c r="N157" s="110"/>
      <c r="O157" s="110"/>
      <c r="P157" s="110">
        <v>39.302979999999998</v>
      </c>
      <c r="Q157" s="110"/>
      <c r="R157" s="110"/>
      <c r="S157" s="110"/>
      <c r="T157" s="110"/>
    </row>
    <row r="158" spans="1:20">
      <c r="A158" s="110" t="s">
        <v>44</v>
      </c>
      <c r="B158" s="110" t="s">
        <v>62</v>
      </c>
      <c r="C158" s="110">
        <v>8890</v>
      </c>
      <c r="D158" s="110">
        <v>26.269929999999999</v>
      </c>
      <c r="E158" s="110">
        <v>7142</v>
      </c>
      <c r="F158" s="110">
        <v>322.33999999999997</v>
      </c>
      <c r="G158" s="110">
        <v>0.83973973073384955</v>
      </c>
      <c r="H158" s="110">
        <v>1.5741792710363818</v>
      </c>
      <c r="I158" s="110">
        <v>12084.66</v>
      </c>
      <c r="J158" s="110">
        <v>371.99090000000001</v>
      </c>
      <c r="K158" s="110">
        <v>0.87110234162356825</v>
      </c>
      <c r="L158" s="110">
        <v>1.5485267394817133</v>
      </c>
      <c r="M158" s="110"/>
      <c r="N158" s="110"/>
      <c r="O158" s="110"/>
      <c r="P158" s="110">
        <v>40.129179999999998</v>
      </c>
      <c r="Q158" s="110"/>
      <c r="R158" s="110"/>
      <c r="S158" s="110"/>
      <c r="T158" s="110"/>
    </row>
    <row r="159" spans="1:20">
      <c r="A159" s="110" t="s">
        <v>44</v>
      </c>
      <c r="B159" s="110" t="s">
        <v>62</v>
      </c>
      <c r="C159" s="110">
        <v>8890</v>
      </c>
      <c r="D159" s="110">
        <v>26.269929999999999</v>
      </c>
      <c r="E159" s="110">
        <v>7142</v>
      </c>
      <c r="F159" s="110">
        <v>322.33999999999997</v>
      </c>
      <c r="G159" s="110">
        <v>0.83973973073384955</v>
      </c>
      <c r="H159" s="110">
        <v>1.5741792710363818</v>
      </c>
      <c r="I159" s="110">
        <v>11732</v>
      </c>
      <c r="J159" s="110">
        <v>369.8313</v>
      </c>
      <c r="K159" s="110">
        <v>0.86742012558720361</v>
      </c>
      <c r="L159" s="110">
        <v>1.5530272042767632</v>
      </c>
      <c r="M159" s="110"/>
      <c r="N159" s="110"/>
      <c r="O159" s="110"/>
      <c r="P159" s="110">
        <v>42.452809999999999</v>
      </c>
      <c r="Q159" s="110"/>
      <c r="R159" s="110"/>
      <c r="S159" s="110"/>
      <c r="T159" s="110"/>
    </row>
    <row r="160" spans="1:20">
      <c r="A160" s="110" t="s">
        <v>44</v>
      </c>
      <c r="B160" s="110" t="s">
        <v>62</v>
      </c>
      <c r="C160" s="110">
        <v>8890</v>
      </c>
      <c r="D160" s="110">
        <v>26.269929999999999</v>
      </c>
      <c r="E160" s="110">
        <v>7142</v>
      </c>
      <c r="F160" s="110">
        <v>322.33999999999997</v>
      </c>
      <c r="G160" s="110">
        <v>0.83973973073384955</v>
      </c>
      <c r="H160" s="110">
        <v>1.5741792710363818</v>
      </c>
      <c r="I160" s="110">
        <v>11558.34</v>
      </c>
      <c r="J160" s="110">
        <v>368.81049999999999</v>
      </c>
      <c r="K160" s="110">
        <v>0.86828029046069788</v>
      </c>
      <c r="L160" s="110">
        <v>1.5330397109331242</v>
      </c>
      <c r="M160" s="110"/>
      <c r="N160" s="110"/>
      <c r="O160" s="110"/>
      <c r="P160" s="110">
        <v>43.445709999999998</v>
      </c>
      <c r="Q160" s="110"/>
      <c r="R160" s="110"/>
      <c r="S160" s="110"/>
      <c r="T160" s="110"/>
    </row>
    <row r="161" spans="1:20">
      <c r="A161" s="110" t="s">
        <v>44</v>
      </c>
      <c r="B161" s="110" t="s">
        <v>62</v>
      </c>
      <c r="C161" s="110">
        <v>8890</v>
      </c>
      <c r="D161" s="110">
        <v>26.269929999999999</v>
      </c>
      <c r="E161" s="110">
        <v>7142</v>
      </c>
      <c r="F161" s="110">
        <v>322.33999999999997</v>
      </c>
      <c r="G161" s="110">
        <v>0.83973973073384955</v>
      </c>
      <c r="H161" s="110">
        <v>1.5741792710363818</v>
      </c>
      <c r="I161" s="110">
        <v>11173.5</v>
      </c>
      <c r="J161" s="110">
        <v>366.64699999999999</v>
      </c>
      <c r="K161" s="110">
        <v>0.86930557138608744</v>
      </c>
      <c r="L161" s="110">
        <v>1.5369838688710431</v>
      </c>
      <c r="M161" s="110"/>
      <c r="N161" s="110"/>
      <c r="O161" s="110"/>
      <c r="P161" s="110">
        <v>45.347479999999997</v>
      </c>
      <c r="Q161" s="110"/>
      <c r="R161" s="110"/>
      <c r="S161" s="110"/>
      <c r="T161" s="110"/>
    </row>
    <row r="162" spans="1:20">
      <c r="A162" s="110" t="s">
        <v>44</v>
      </c>
      <c r="B162" s="110" t="s">
        <v>62</v>
      </c>
      <c r="C162" s="110">
        <v>8890</v>
      </c>
      <c r="D162" s="110">
        <v>26.269929999999999</v>
      </c>
      <c r="E162" s="110">
        <v>7142</v>
      </c>
      <c r="F162" s="110">
        <v>322.33999999999997</v>
      </c>
      <c r="G162" s="110">
        <v>0.83973973073384955</v>
      </c>
      <c r="H162" s="110">
        <v>1.5741792710363818</v>
      </c>
      <c r="I162" s="110">
        <v>10973.09</v>
      </c>
      <c r="J162" s="110">
        <v>365.55149999999998</v>
      </c>
      <c r="K162" s="110">
        <v>0.8690410606669432</v>
      </c>
      <c r="L162" s="110">
        <v>1.5389070568035552</v>
      </c>
      <c r="M162" s="110"/>
      <c r="N162" s="110"/>
      <c r="O162" s="110"/>
      <c r="P162" s="110">
        <v>46.208419999999997</v>
      </c>
      <c r="Q162" s="110"/>
      <c r="R162" s="110"/>
      <c r="S162" s="110"/>
      <c r="T162" s="110"/>
    </row>
    <row r="163" spans="1:20">
      <c r="A163" s="110" t="s">
        <v>44</v>
      </c>
      <c r="B163" s="110" t="s">
        <v>62</v>
      </c>
      <c r="C163" s="110">
        <v>8890</v>
      </c>
      <c r="D163" s="110">
        <v>26.269929999999999</v>
      </c>
      <c r="E163" s="110">
        <v>7142</v>
      </c>
      <c r="F163" s="110">
        <v>322.33999999999997</v>
      </c>
      <c r="G163" s="110">
        <v>0.83973973073384955</v>
      </c>
      <c r="H163" s="110">
        <v>1.5741792710363818</v>
      </c>
      <c r="I163" s="110">
        <v>10583.33</v>
      </c>
      <c r="J163" s="110">
        <v>363.4633</v>
      </c>
      <c r="K163" s="110">
        <v>0.86692965730148197</v>
      </c>
      <c r="L163" s="110">
        <v>1.5424988355462146</v>
      </c>
      <c r="M163" s="110"/>
      <c r="N163" s="110"/>
      <c r="O163" s="110"/>
      <c r="P163" s="110">
        <v>47.684570000000001</v>
      </c>
      <c r="Q163" s="110"/>
      <c r="R163" s="110"/>
      <c r="S163" s="110"/>
      <c r="T163" s="110"/>
    </row>
    <row r="164" spans="1:20">
      <c r="A164" s="110" t="s">
        <v>44</v>
      </c>
      <c r="B164" s="110" t="s">
        <v>62</v>
      </c>
      <c r="C164" s="110">
        <v>8890</v>
      </c>
      <c r="D164" s="110">
        <v>26.269929999999999</v>
      </c>
      <c r="E164" s="110">
        <v>7142</v>
      </c>
      <c r="F164" s="110">
        <v>322.33999999999997</v>
      </c>
      <c r="G164" s="110">
        <v>0.83973973073384955</v>
      </c>
      <c r="H164" s="110">
        <v>1.5741792710363818</v>
      </c>
      <c r="I164" s="110">
        <v>10371.779999999999</v>
      </c>
      <c r="J164" s="110">
        <v>362.35219999999998</v>
      </c>
      <c r="K164" s="110">
        <v>0.86716845061392367</v>
      </c>
      <c r="L164" s="110">
        <v>1.5232379914264047</v>
      </c>
      <c r="M164" s="110"/>
      <c r="N164" s="110"/>
      <c r="O164" s="110"/>
      <c r="P164" s="110">
        <v>48.381399999999999</v>
      </c>
      <c r="Q164" s="110"/>
      <c r="R164" s="110"/>
      <c r="S164" s="110"/>
      <c r="T164" s="110"/>
    </row>
    <row r="165" spans="1:20">
      <c r="A165" s="110" t="s">
        <v>44</v>
      </c>
      <c r="B165" s="110" t="s">
        <v>62</v>
      </c>
      <c r="C165" s="110">
        <v>8890</v>
      </c>
      <c r="D165" s="110">
        <v>26.269929999999999</v>
      </c>
      <c r="E165" s="110">
        <v>7142</v>
      </c>
      <c r="F165" s="110">
        <v>322.33999999999997</v>
      </c>
      <c r="G165" s="110">
        <v>0.83973973073384955</v>
      </c>
      <c r="H165" s="110">
        <v>1.5741792710363818</v>
      </c>
      <c r="I165" s="110">
        <v>9993.7659999999996</v>
      </c>
      <c r="J165" s="110">
        <v>360.38409999999999</v>
      </c>
      <c r="K165" s="110">
        <v>0.86944476252111957</v>
      </c>
      <c r="L165" s="110">
        <v>1.5267531311314682</v>
      </c>
      <c r="M165" s="110"/>
      <c r="N165" s="110"/>
      <c r="O165" s="110"/>
      <c r="P165" s="110">
        <v>49.518990000000002</v>
      </c>
      <c r="Q165" s="110"/>
      <c r="R165" s="110"/>
      <c r="S165" s="110"/>
      <c r="T165" s="110"/>
    </row>
    <row r="166" spans="1:20">
      <c r="A166" s="110" t="s">
        <v>44</v>
      </c>
      <c r="B166" s="110" t="s">
        <v>62</v>
      </c>
      <c r="C166" s="110">
        <v>8890</v>
      </c>
      <c r="D166" s="110">
        <v>26.269929999999999</v>
      </c>
      <c r="E166" s="110">
        <v>7142</v>
      </c>
      <c r="F166" s="110">
        <v>322.33999999999997</v>
      </c>
      <c r="G166" s="110">
        <v>0.83973973073384955</v>
      </c>
      <c r="H166" s="110">
        <v>1.5741792710363818</v>
      </c>
      <c r="I166" s="110">
        <v>9771.6319999999996</v>
      </c>
      <c r="J166" s="110">
        <v>359.22879999999998</v>
      </c>
      <c r="K166" s="110">
        <v>0.86956044720562098</v>
      </c>
      <c r="L166" s="110">
        <v>1.5289232961329218</v>
      </c>
      <c r="M166" s="110"/>
      <c r="N166" s="110"/>
      <c r="O166" s="110"/>
      <c r="P166" s="110">
        <v>50.110259999999997</v>
      </c>
      <c r="Q166" s="110"/>
      <c r="R166" s="110"/>
      <c r="S166" s="110"/>
      <c r="T166" s="110"/>
    </row>
    <row r="167" spans="1:20">
      <c r="A167" s="110" t="s">
        <v>44</v>
      </c>
      <c r="B167" s="110" t="s">
        <v>62</v>
      </c>
      <c r="C167" s="110">
        <v>8890</v>
      </c>
      <c r="D167" s="110">
        <v>26.269929999999999</v>
      </c>
      <c r="E167" s="110">
        <v>7142</v>
      </c>
      <c r="F167" s="110">
        <v>322.33999999999997</v>
      </c>
      <c r="G167" s="110">
        <v>0.83973973073384955</v>
      </c>
      <c r="H167" s="110">
        <v>1.5741792710363818</v>
      </c>
      <c r="I167" s="110">
        <v>9679.2309999999998</v>
      </c>
      <c r="J167" s="110">
        <v>358.74650000000003</v>
      </c>
      <c r="K167" s="110">
        <v>0.86933907193777704</v>
      </c>
      <c r="L167" s="110">
        <v>1.5298604025413713</v>
      </c>
      <c r="M167" s="110"/>
      <c r="N167" s="110"/>
      <c r="O167" s="110"/>
      <c r="P167" s="110">
        <v>50.343910000000001</v>
      </c>
      <c r="Q167" s="110"/>
      <c r="R167" s="110"/>
      <c r="S167" s="110"/>
      <c r="T167" s="110"/>
    </row>
    <row r="168" spans="1:20">
      <c r="A168" s="110" t="s">
        <v>44</v>
      </c>
      <c r="B168" s="110" t="s">
        <v>62</v>
      </c>
      <c r="C168" s="110">
        <v>8890</v>
      </c>
      <c r="D168" s="110">
        <v>26.269929999999999</v>
      </c>
      <c r="E168" s="110">
        <v>7142</v>
      </c>
      <c r="F168" s="110">
        <v>322.33999999999997</v>
      </c>
      <c r="G168" s="110">
        <v>0.83973973073384955</v>
      </c>
      <c r="H168" s="110">
        <v>1.5741792710363818</v>
      </c>
      <c r="I168" s="110">
        <v>9637.98</v>
      </c>
      <c r="J168" s="110">
        <v>358.53059999999999</v>
      </c>
      <c r="K168" s="110">
        <v>0.869188726758234</v>
      </c>
      <c r="L168" s="110">
        <v>1.5302867873153092</v>
      </c>
      <c r="M168" s="110"/>
      <c r="N168" s="110"/>
      <c r="O168" s="110"/>
      <c r="P168" s="110">
        <v>50.446820000000002</v>
      </c>
      <c r="Q168" s="110"/>
      <c r="R168" s="110"/>
      <c r="S168" s="110"/>
      <c r="T168" s="110"/>
    </row>
    <row r="169" spans="1:20">
      <c r="A169" s="110" t="s">
        <v>44</v>
      </c>
      <c r="B169" s="110" t="s">
        <v>62</v>
      </c>
      <c r="C169" s="110">
        <v>8890</v>
      </c>
      <c r="D169" s="110">
        <v>26.269929999999999</v>
      </c>
      <c r="E169" s="110">
        <v>7142</v>
      </c>
      <c r="F169" s="110">
        <v>322.33999999999997</v>
      </c>
      <c r="G169" s="110">
        <v>0.83973973073384955</v>
      </c>
      <c r="H169" s="110">
        <v>1.5741792710363818</v>
      </c>
      <c r="I169" s="110">
        <v>9627.9160000000011</v>
      </c>
      <c r="J169" s="110">
        <v>358.47800000000001</v>
      </c>
      <c r="K169" s="110">
        <v>0.86914744451712833</v>
      </c>
      <c r="L169" s="110">
        <v>1.5303909961353859</v>
      </c>
      <c r="M169" s="110"/>
      <c r="N169" s="110"/>
      <c r="O169" s="110"/>
      <c r="P169" s="110">
        <v>50.471780000000003</v>
      </c>
      <c r="Q169" s="110"/>
      <c r="R169" s="110"/>
      <c r="S169" s="110"/>
      <c r="T169" s="110"/>
    </row>
    <row r="170" spans="1:20">
      <c r="A170" s="110" t="s">
        <v>44</v>
      </c>
      <c r="B170" s="110" t="s">
        <v>108</v>
      </c>
      <c r="C170" s="110">
        <v>13335</v>
      </c>
      <c r="D170" s="110">
        <v>27.58005</v>
      </c>
      <c r="E170" s="110">
        <v>7142</v>
      </c>
      <c r="F170" s="110">
        <v>322.33999999999997</v>
      </c>
      <c r="G170" s="110">
        <v>0.80825450757155648</v>
      </c>
      <c r="H170" s="110">
        <v>1.6192384053408091</v>
      </c>
      <c r="I170" s="110">
        <v>27011.9</v>
      </c>
      <c r="J170" s="110">
        <v>443.56580000000002</v>
      </c>
      <c r="K170" s="110">
        <v>0.96174971239761309</v>
      </c>
      <c r="L170" s="110">
        <v>1.4947173888347958</v>
      </c>
      <c r="M170" s="110"/>
      <c r="N170" s="110"/>
      <c r="O170" s="110"/>
      <c r="P170" s="110">
        <v>59.725810000000003</v>
      </c>
      <c r="Q170" s="110"/>
      <c r="R170" s="110"/>
      <c r="S170" s="110"/>
      <c r="T170" s="110"/>
    </row>
    <row r="171" spans="1:20">
      <c r="A171" s="110" t="s">
        <v>44</v>
      </c>
      <c r="B171" s="110" t="s">
        <v>108</v>
      </c>
      <c r="C171" s="110">
        <v>13335</v>
      </c>
      <c r="D171" s="110">
        <v>27.58005</v>
      </c>
      <c r="E171" s="110">
        <v>7142</v>
      </c>
      <c r="F171" s="110">
        <v>322.33999999999997</v>
      </c>
      <c r="G171" s="110">
        <v>0.80825450757155648</v>
      </c>
      <c r="H171" s="110">
        <v>1.6192384053408091</v>
      </c>
      <c r="I171" s="110">
        <v>26901.86</v>
      </c>
      <c r="J171" s="110">
        <v>442.99130000000002</v>
      </c>
      <c r="K171" s="110">
        <v>0.96051188722085923</v>
      </c>
      <c r="L171" s="110">
        <v>1.4950145630080631</v>
      </c>
      <c r="M171" s="110"/>
      <c r="N171" s="110"/>
      <c r="O171" s="110"/>
      <c r="P171" s="110">
        <v>60.860210000000002</v>
      </c>
      <c r="Q171" s="110"/>
      <c r="R171" s="110"/>
      <c r="S171" s="110"/>
      <c r="T171" s="110"/>
    </row>
    <row r="172" spans="1:20">
      <c r="A172" s="110" t="s">
        <v>44</v>
      </c>
      <c r="B172" s="110" t="s">
        <v>108</v>
      </c>
      <c r="C172" s="110">
        <v>13335</v>
      </c>
      <c r="D172" s="110">
        <v>27.58005</v>
      </c>
      <c r="E172" s="110">
        <v>7142</v>
      </c>
      <c r="F172" s="110">
        <v>322.33999999999997</v>
      </c>
      <c r="G172" s="110">
        <v>0.80825450757155648</v>
      </c>
      <c r="H172" s="110">
        <v>1.6192384053408091</v>
      </c>
      <c r="I172" s="110">
        <v>26603.559999999998</v>
      </c>
      <c r="J172" s="110">
        <v>441.51369999999997</v>
      </c>
      <c r="K172" s="110">
        <v>0.95709448922328622</v>
      </c>
      <c r="L172" s="110">
        <v>1.4955844814743324</v>
      </c>
      <c r="M172" s="110"/>
      <c r="N172" s="110"/>
      <c r="O172" s="110"/>
      <c r="P172" s="110">
        <v>63.587110000000003</v>
      </c>
      <c r="Q172" s="110"/>
      <c r="R172" s="110"/>
      <c r="S172" s="110"/>
      <c r="T172" s="110"/>
    </row>
    <row r="173" spans="1:20">
      <c r="A173" s="110" t="s">
        <v>44</v>
      </c>
      <c r="B173" s="110" t="s">
        <v>108</v>
      </c>
      <c r="C173" s="110">
        <v>13335</v>
      </c>
      <c r="D173" s="110">
        <v>27.58005</v>
      </c>
      <c r="E173" s="110">
        <v>7142</v>
      </c>
      <c r="F173" s="110">
        <v>322.33999999999997</v>
      </c>
      <c r="G173" s="110">
        <v>0.80825450757155648</v>
      </c>
      <c r="H173" s="110">
        <v>1.6192384053408091</v>
      </c>
      <c r="I173" s="110">
        <v>26028.750000000004</v>
      </c>
      <c r="J173" s="110">
        <v>438.7885</v>
      </c>
      <c r="K173" s="110">
        <v>0.95002514851238873</v>
      </c>
      <c r="L173" s="110">
        <v>1.4956878584398012</v>
      </c>
      <c r="M173" s="110"/>
      <c r="N173" s="110"/>
      <c r="O173" s="110"/>
      <c r="P173" s="110">
        <v>68.477950000000007</v>
      </c>
      <c r="Q173" s="110"/>
      <c r="R173" s="110"/>
      <c r="S173" s="110"/>
      <c r="T173" s="110"/>
    </row>
    <row r="174" spans="1:20">
      <c r="A174" s="110" t="s">
        <v>44</v>
      </c>
      <c r="B174" s="110" t="s">
        <v>108</v>
      </c>
      <c r="C174" s="110">
        <v>13335</v>
      </c>
      <c r="D174" s="110">
        <v>27.58005</v>
      </c>
      <c r="E174" s="110">
        <v>7142</v>
      </c>
      <c r="F174" s="110">
        <v>322.33999999999997</v>
      </c>
      <c r="G174" s="110">
        <v>0.80825450757155648</v>
      </c>
      <c r="H174" s="110">
        <v>1.6192384053408091</v>
      </c>
      <c r="I174" s="110">
        <v>25038.93</v>
      </c>
      <c r="J174" s="110">
        <v>434.78410000000002</v>
      </c>
      <c r="K174" s="110">
        <v>0.94131674830437495</v>
      </c>
      <c r="L174" s="110">
        <v>1.5159758399316587</v>
      </c>
      <c r="M174" s="110"/>
      <c r="N174" s="110"/>
      <c r="O174" s="110"/>
      <c r="P174" s="110">
        <v>75.231440000000006</v>
      </c>
      <c r="Q174" s="110"/>
      <c r="R174" s="110"/>
      <c r="S174" s="110"/>
      <c r="T174" s="110"/>
    </row>
    <row r="175" spans="1:20">
      <c r="A175" s="110" t="s">
        <v>44</v>
      </c>
      <c r="B175" s="110" t="s">
        <v>108</v>
      </c>
      <c r="C175" s="110">
        <v>13335</v>
      </c>
      <c r="D175" s="110">
        <v>27.58005</v>
      </c>
      <c r="E175" s="110">
        <v>7142</v>
      </c>
      <c r="F175" s="110">
        <v>322.33999999999997</v>
      </c>
      <c r="G175" s="110">
        <v>0.80825450757155648</v>
      </c>
      <c r="H175" s="110">
        <v>1.6192384053408091</v>
      </c>
      <c r="I175" s="110">
        <v>24756.78</v>
      </c>
      <c r="J175" s="110">
        <v>433.78309999999999</v>
      </c>
      <c r="K175" s="110">
        <v>0.93949591144059075</v>
      </c>
      <c r="L175" s="110">
        <v>1.5156201209612552</v>
      </c>
      <c r="M175" s="110"/>
      <c r="N175" s="110"/>
      <c r="O175" s="110"/>
      <c r="P175" s="110">
        <v>76.853999999999999</v>
      </c>
      <c r="Q175" s="110"/>
      <c r="R175" s="110"/>
      <c r="S175" s="110"/>
      <c r="T175" s="110"/>
    </row>
    <row r="176" spans="1:20">
      <c r="A176" s="110" t="s">
        <v>44</v>
      </c>
      <c r="B176" s="110" t="s">
        <v>108</v>
      </c>
      <c r="C176" s="110">
        <v>13335</v>
      </c>
      <c r="D176" s="110">
        <v>27.58005</v>
      </c>
      <c r="E176" s="110">
        <v>7142</v>
      </c>
      <c r="F176" s="110">
        <v>322.33999999999997</v>
      </c>
      <c r="G176" s="110">
        <v>0.80825450757155648</v>
      </c>
      <c r="H176" s="110">
        <v>1.6192384053408091</v>
      </c>
      <c r="I176" s="110">
        <v>24518.05</v>
      </c>
      <c r="J176" s="110">
        <v>432.95100000000002</v>
      </c>
      <c r="K176" s="110">
        <v>0.93778519050987019</v>
      </c>
      <c r="L176" s="110">
        <v>1.5152176780227222</v>
      </c>
      <c r="M176" s="110"/>
      <c r="N176" s="110"/>
      <c r="O176" s="110"/>
      <c r="P176" s="110">
        <v>78.068640000000002</v>
      </c>
      <c r="Q176" s="110"/>
      <c r="R176" s="110"/>
      <c r="S176" s="110"/>
      <c r="T176" s="110"/>
    </row>
    <row r="177" spans="1:20">
      <c r="A177" s="110" t="s">
        <v>44</v>
      </c>
      <c r="B177" s="110" t="s">
        <v>108</v>
      </c>
      <c r="C177" s="110">
        <v>13335</v>
      </c>
      <c r="D177" s="110">
        <v>27.58005</v>
      </c>
      <c r="E177" s="110">
        <v>7142</v>
      </c>
      <c r="F177" s="110">
        <v>322.33999999999997</v>
      </c>
      <c r="G177" s="110">
        <v>0.80825450757155648</v>
      </c>
      <c r="H177" s="110">
        <v>1.6192384053408091</v>
      </c>
      <c r="I177" s="110">
        <v>23731.460000000003</v>
      </c>
      <c r="J177" s="110">
        <v>430.30860000000001</v>
      </c>
      <c r="K177" s="110">
        <v>0.93106221583411464</v>
      </c>
      <c r="L177" s="110">
        <v>1.5132442891474507</v>
      </c>
      <c r="M177" s="110"/>
      <c r="N177" s="110"/>
      <c r="O177" s="110"/>
      <c r="P177" s="110">
        <v>81.425470000000004</v>
      </c>
      <c r="Q177" s="110"/>
      <c r="R177" s="110"/>
      <c r="S177" s="110"/>
      <c r="T177" s="110"/>
    </row>
    <row r="178" spans="1:20">
      <c r="A178" s="110" t="s">
        <v>44</v>
      </c>
      <c r="B178" s="110" t="s">
        <v>108</v>
      </c>
      <c r="C178" s="110">
        <v>13335</v>
      </c>
      <c r="D178" s="110">
        <v>27.58005</v>
      </c>
      <c r="E178" s="110">
        <v>7142</v>
      </c>
      <c r="F178" s="110">
        <v>322.33999999999997</v>
      </c>
      <c r="G178" s="110">
        <v>0.80825450757155648</v>
      </c>
      <c r="H178" s="110">
        <v>1.6192384053408091</v>
      </c>
      <c r="I178" s="110">
        <v>23404.75</v>
      </c>
      <c r="J178" s="110">
        <v>429.22980000000001</v>
      </c>
      <c r="K178" s="110">
        <v>0.92775128416678132</v>
      </c>
      <c r="L178" s="110">
        <v>1.5121893351114184</v>
      </c>
      <c r="M178" s="110"/>
      <c r="N178" s="110"/>
      <c r="O178" s="110"/>
      <c r="P178" s="110">
        <v>82.655270000000002</v>
      </c>
      <c r="Q178" s="110"/>
      <c r="R178" s="110"/>
      <c r="S178" s="110"/>
      <c r="T178" s="110"/>
    </row>
    <row r="179" spans="1:20">
      <c r="A179" s="110" t="s">
        <v>44</v>
      </c>
      <c r="B179" s="110" t="s">
        <v>108</v>
      </c>
      <c r="C179" s="110">
        <v>13335</v>
      </c>
      <c r="D179" s="110">
        <v>27.58005</v>
      </c>
      <c r="E179" s="110">
        <v>7142</v>
      </c>
      <c r="F179" s="110">
        <v>322.33999999999997</v>
      </c>
      <c r="G179" s="110">
        <v>0.80825450757155648</v>
      </c>
      <c r="H179" s="110">
        <v>1.6192384053408091</v>
      </c>
      <c r="I179" s="110">
        <v>22353.460000000003</v>
      </c>
      <c r="J179" s="110">
        <v>425.7833</v>
      </c>
      <c r="K179" s="110">
        <v>0.9200552616015697</v>
      </c>
      <c r="L179" s="110">
        <v>1.5245692189187672</v>
      </c>
      <c r="M179" s="110"/>
      <c r="N179" s="110"/>
      <c r="O179" s="110"/>
      <c r="P179" s="110">
        <v>86.290819999999997</v>
      </c>
      <c r="Q179" s="110"/>
      <c r="R179" s="110"/>
      <c r="S179" s="110"/>
      <c r="T179" s="110"/>
    </row>
    <row r="180" spans="1:20">
      <c r="A180" s="110" t="s">
        <v>44</v>
      </c>
      <c r="B180" s="110" t="s">
        <v>108</v>
      </c>
      <c r="C180" s="110">
        <v>13335</v>
      </c>
      <c r="D180" s="110">
        <v>27.58005</v>
      </c>
      <c r="E180" s="110">
        <v>7142</v>
      </c>
      <c r="F180" s="110">
        <v>322.33999999999997</v>
      </c>
      <c r="G180" s="110">
        <v>0.80825450757155648</v>
      </c>
      <c r="H180" s="110">
        <v>1.6192384053408091</v>
      </c>
      <c r="I180" s="110">
        <v>21560.87</v>
      </c>
      <c r="J180" s="110">
        <v>423.40300000000002</v>
      </c>
      <c r="K180" s="110">
        <v>0.91546802047688181</v>
      </c>
      <c r="L180" s="110">
        <v>1.5221786127270862</v>
      </c>
      <c r="M180" s="110"/>
      <c r="N180" s="110"/>
      <c r="O180" s="110"/>
      <c r="P180" s="110">
        <v>88.288240000000002</v>
      </c>
      <c r="Q180" s="110"/>
      <c r="R180" s="110"/>
      <c r="S180" s="110"/>
      <c r="T180" s="110"/>
    </row>
    <row r="181" spans="1:20">
      <c r="A181" s="110" t="s">
        <v>44</v>
      </c>
      <c r="B181" s="110" t="s">
        <v>108</v>
      </c>
      <c r="C181" s="110">
        <v>13335</v>
      </c>
      <c r="D181" s="110">
        <v>27.58005</v>
      </c>
      <c r="E181" s="110">
        <v>7142</v>
      </c>
      <c r="F181" s="110">
        <v>322.33999999999997</v>
      </c>
      <c r="G181" s="110">
        <v>0.80825450757155648</v>
      </c>
      <c r="H181" s="110">
        <v>1.6192384053408091</v>
      </c>
      <c r="I181" s="110">
        <v>20396.260000000002</v>
      </c>
      <c r="J181" s="110">
        <v>419.95240000000001</v>
      </c>
      <c r="K181" s="110">
        <v>0.90542523393789676</v>
      </c>
      <c r="L181" s="110">
        <v>1.5254739395249859</v>
      </c>
      <c r="M181" s="110"/>
      <c r="N181" s="110"/>
      <c r="O181" s="110"/>
      <c r="P181" s="110">
        <v>90.662989999999994</v>
      </c>
      <c r="Q181" s="110"/>
      <c r="R181" s="110"/>
      <c r="S181" s="110"/>
      <c r="T181" s="110"/>
    </row>
    <row r="182" spans="1:20">
      <c r="A182" s="110" t="s">
        <v>44</v>
      </c>
      <c r="B182" s="110" t="s">
        <v>108</v>
      </c>
      <c r="C182" s="110">
        <v>13335</v>
      </c>
      <c r="D182" s="110">
        <v>27.58005</v>
      </c>
      <c r="E182" s="110">
        <v>7142</v>
      </c>
      <c r="F182" s="110">
        <v>322.33999999999997</v>
      </c>
      <c r="G182" s="110">
        <v>0.80825450757155648</v>
      </c>
      <c r="H182" s="110">
        <v>1.6192384053408091</v>
      </c>
      <c r="I182" s="110">
        <v>19740.559999999998</v>
      </c>
      <c r="J182" s="110">
        <v>417.96440000000001</v>
      </c>
      <c r="K182" s="110">
        <v>0.90391435029864065</v>
      </c>
      <c r="L182" s="110">
        <v>1.5239405051296346</v>
      </c>
      <c r="M182" s="110"/>
      <c r="N182" s="110"/>
      <c r="O182" s="110"/>
      <c r="P182" s="110">
        <v>91.792779999999993</v>
      </c>
      <c r="Q182" s="110"/>
      <c r="R182" s="110"/>
      <c r="S182" s="110"/>
      <c r="T182" s="110"/>
    </row>
    <row r="183" spans="1:20">
      <c r="A183" s="110" t="s">
        <v>44</v>
      </c>
      <c r="B183" s="110" t="s">
        <v>108</v>
      </c>
      <c r="C183" s="110">
        <v>13335</v>
      </c>
      <c r="D183" s="110">
        <v>27.58005</v>
      </c>
      <c r="E183" s="110">
        <v>7142</v>
      </c>
      <c r="F183" s="110">
        <v>322.33999999999997</v>
      </c>
      <c r="G183" s="110">
        <v>0.80825450757155648</v>
      </c>
      <c r="H183" s="110">
        <v>1.6192384053408091</v>
      </c>
      <c r="I183" s="110">
        <v>18330.37</v>
      </c>
      <c r="J183" s="110">
        <v>413.74689999999998</v>
      </c>
      <c r="K183" s="110">
        <v>0.89375816420231158</v>
      </c>
      <c r="L183" s="110">
        <v>1.5180800667356349</v>
      </c>
      <c r="M183" s="110"/>
      <c r="N183" s="110"/>
      <c r="O183" s="110"/>
      <c r="P183" s="110">
        <v>93.678629999999998</v>
      </c>
      <c r="Q183" s="110"/>
      <c r="R183" s="110"/>
      <c r="S183" s="110"/>
      <c r="T183" s="110"/>
    </row>
    <row r="184" spans="1:20">
      <c r="A184" s="110" t="s">
        <v>44</v>
      </c>
      <c r="B184" s="110" t="s">
        <v>108</v>
      </c>
      <c r="C184" s="110">
        <v>13335</v>
      </c>
      <c r="D184" s="110">
        <v>27.58005</v>
      </c>
      <c r="E184" s="110">
        <v>7142</v>
      </c>
      <c r="F184" s="110">
        <v>322.33999999999997</v>
      </c>
      <c r="G184" s="110">
        <v>0.80825450757155648</v>
      </c>
      <c r="H184" s="110">
        <v>1.6192384053408091</v>
      </c>
      <c r="I184" s="110">
        <v>17740.64</v>
      </c>
      <c r="J184" s="110">
        <v>411.9348</v>
      </c>
      <c r="K184" s="110">
        <v>0.89350263835063637</v>
      </c>
      <c r="L184" s="110">
        <v>1.5178502514362289</v>
      </c>
      <c r="M184" s="110"/>
      <c r="N184" s="110"/>
      <c r="O184" s="110"/>
      <c r="P184" s="110">
        <v>94.354349999999997</v>
      </c>
      <c r="Q184" s="110"/>
      <c r="R184" s="110"/>
      <c r="S184" s="110"/>
      <c r="T184" s="110"/>
    </row>
    <row r="185" spans="1:20">
      <c r="A185" s="110" t="s">
        <v>44</v>
      </c>
      <c r="B185" s="110" t="s">
        <v>108</v>
      </c>
      <c r="C185" s="110">
        <v>13335</v>
      </c>
      <c r="D185" s="110">
        <v>27.58005</v>
      </c>
      <c r="E185" s="110">
        <v>7142</v>
      </c>
      <c r="F185" s="110">
        <v>322.33999999999997</v>
      </c>
      <c r="G185" s="110">
        <v>0.80825450757155648</v>
      </c>
      <c r="H185" s="110">
        <v>1.6192384053408091</v>
      </c>
      <c r="I185" s="110">
        <v>16495.27</v>
      </c>
      <c r="J185" s="110">
        <v>408.02069999999998</v>
      </c>
      <c r="K185" s="110">
        <v>0.88649325189289052</v>
      </c>
      <c r="L185" s="110">
        <v>1.5177735187009151</v>
      </c>
      <c r="M185" s="110"/>
      <c r="N185" s="110"/>
      <c r="O185" s="110"/>
      <c r="P185" s="110">
        <v>95.639660000000006</v>
      </c>
      <c r="Q185" s="110"/>
      <c r="R185" s="110"/>
      <c r="S185" s="110"/>
      <c r="T185" s="110"/>
    </row>
    <row r="186" spans="1:20">
      <c r="A186" s="110" t="s">
        <v>44</v>
      </c>
      <c r="B186" s="110" t="s">
        <v>108</v>
      </c>
      <c r="C186" s="110">
        <v>13335</v>
      </c>
      <c r="D186" s="110">
        <v>27.58005</v>
      </c>
      <c r="E186" s="110">
        <v>7142</v>
      </c>
      <c r="F186" s="110">
        <v>322.33999999999997</v>
      </c>
      <c r="G186" s="110">
        <v>0.80825450757155648</v>
      </c>
      <c r="H186" s="110">
        <v>1.6192384053408091</v>
      </c>
      <c r="I186" s="110">
        <v>15734.94</v>
      </c>
      <c r="J186" s="110">
        <v>405.53320000000002</v>
      </c>
      <c r="K186" s="110">
        <v>0.88624771472736374</v>
      </c>
      <c r="L186" s="110">
        <v>1.5118570841758177</v>
      </c>
      <c r="M186" s="110"/>
      <c r="N186" s="110"/>
      <c r="O186" s="110"/>
      <c r="P186" s="110">
        <v>96.281419999999997</v>
      </c>
      <c r="Q186" s="110"/>
      <c r="R186" s="110"/>
      <c r="S186" s="110"/>
      <c r="T186" s="110"/>
    </row>
    <row r="187" spans="1:20">
      <c r="A187" s="110" t="s">
        <v>44</v>
      </c>
      <c r="B187" s="110" t="s">
        <v>108</v>
      </c>
      <c r="C187" s="110">
        <v>13335</v>
      </c>
      <c r="D187" s="110">
        <v>27.58005</v>
      </c>
      <c r="E187" s="110">
        <v>7142</v>
      </c>
      <c r="F187" s="110">
        <v>322.33999999999997</v>
      </c>
      <c r="G187" s="110">
        <v>0.80825450757155648</v>
      </c>
      <c r="H187" s="110">
        <v>1.6192384053408091</v>
      </c>
      <c r="I187" s="110">
        <v>14306.84</v>
      </c>
      <c r="J187" s="110">
        <v>400.70060000000001</v>
      </c>
      <c r="K187" s="110">
        <v>0.88173377580188572</v>
      </c>
      <c r="L187" s="110">
        <v>1.4987534165348622</v>
      </c>
      <c r="M187" s="110"/>
      <c r="N187" s="110"/>
      <c r="O187" s="110"/>
      <c r="P187" s="110">
        <v>97.183549999999997</v>
      </c>
      <c r="Q187" s="110"/>
      <c r="R187" s="110"/>
      <c r="S187" s="110"/>
      <c r="T187" s="110"/>
    </row>
    <row r="188" spans="1:20">
      <c r="A188" s="110" t="s">
        <v>44</v>
      </c>
      <c r="B188" s="110" t="s">
        <v>108</v>
      </c>
      <c r="C188" s="110">
        <v>12700</v>
      </c>
      <c r="D188" s="110">
        <v>27.58005</v>
      </c>
      <c r="E188" s="110">
        <v>7142</v>
      </c>
      <c r="F188" s="110">
        <v>322.33999999999997</v>
      </c>
      <c r="G188" s="110">
        <v>0.80825450757155648</v>
      </c>
      <c r="H188" s="110">
        <v>1.6192384053408091</v>
      </c>
      <c r="I188" s="110">
        <v>24608.83</v>
      </c>
      <c r="J188" s="110">
        <v>434.91210000000001</v>
      </c>
      <c r="K188" s="110">
        <v>0.94057005165143015</v>
      </c>
      <c r="L188" s="110">
        <v>1.5107474052156009</v>
      </c>
      <c r="M188" s="110"/>
      <c r="N188" s="110"/>
      <c r="O188" s="110"/>
      <c r="P188" s="110">
        <v>54.001950000000001</v>
      </c>
      <c r="Q188" s="110"/>
      <c r="R188" s="110"/>
      <c r="S188" s="110"/>
      <c r="T188" s="110"/>
    </row>
    <row r="189" spans="1:20">
      <c r="A189" s="110" t="s">
        <v>44</v>
      </c>
      <c r="B189" s="110" t="s">
        <v>108</v>
      </c>
      <c r="C189" s="110">
        <v>12700</v>
      </c>
      <c r="D189" s="110">
        <v>27.58005</v>
      </c>
      <c r="E189" s="110">
        <v>7142</v>
      </c>
      <c r="F189" s="110">
        <v>322.33999999999997</v>
      </c>
      <c r="G189" s="110">
        <v>0.80825450757155648</v>
      </c>
      <c r="H189" s="110">
        <v>1.6192384053408091</v>
      </c>
      <c r="I189" s="110">
        <v>24536.53</v>
      </c>
      <c r="J189" s="110">
        <v>434.47480000000002</v>
      </c>
      <c r="K189" s="110">
        <v>0.93980382640401994</v>
      </c>
      <c r="L189" s="110">
        <v>1.5112069402944301</v>
      </c>
      <c r="M189" s="110"/>
      <c r="N189" s="110"/>
      <c r="O189" s="110"/>
      <c r="P189" s="110">
        <v>54.869</v>
      </c>
      <c r="Q189" s="110"/>
      <c r="R189" s="110"/>
      <c r="S189" s="110"/>
      <c r="T189" s="110"/>
    </row>
    <row r="190" spans="1:20">
      <c r="A190" s="110" t="s">
        <v>44</v>
      </c>
      <c r="B190" s="110" t="s">
        <v>108</v>
      </c>
      <c r="C190" s="110">
        <v>12700</v>
      </c>
      <c r="D190" s="110">
        <v>27.58005</v>
      </c>
      <c r="E190" s="110">
        <v>7142</v>
      </c>
      <c r="F190" s="110">
        <v>322.33999999999997</v>
      </c>
      <c r="G190" s="110">
        <v>0.80825450757155648</v>
      </c>
      <c r="H190" s="110">
        <v>1.6192384053408091</v>
      </c>
      <c r="I190" s="110">
        <v>24521.440000000002</v>
      </c>
      <c r="J190" s="110">
        <v>434.3854</v>
      </c>
      <c r="K190" s="110">
        <v>0.93964417078043128</v>
      </c>
      <c r="L190" s="110">
        <v>1.5112959974445581</v>
      </c>
      <c r="M190" s="110"/>
      <c r="N190" s="110"/>
      <c r="O190" s="110"/>
      <c r="P190" s="110">
        <v>55.04421</v>
      </c>
      <c r="Q190" s="110"/>
      <c r="R190" s="110"/>
      <c r="S190" s="110"/>
      <c r="T190" s="110"/>
    </row>
    <row r="191" spans="1:20">
      <c r="A191" s="110" t="s">
        <v>44</v>
      </c>
      <c r="B191" s="110" t="s">
        <v>108</v>
      </c>
      <c r="C191" s="110">
        <v>12700</v>
      </c>
      <c r="D191" s="110">
        <v>27.58005</v>
      </c>
      <c r="E191" s="110">
        <v>7142</v>
      </c>
      <c r="F191" s="110">
        <v>322.33999999999997</v>
      </c>
      <c r="G191" s="110">
        <v>0.80825450757155648</v>
      </c>
      <c r="H191" s="110">
        <v>1.6192384053408091</v>
      </c>
      <c r="I191" s="110">
        <v>24249.48</v>
      </c>
      <c r="J191" s="110">
        <v>432.89019999999999</v>
      </c>
      <c r="K191" s="110">
        <v>0.9367915530930826</v>
      </c>
      <c r="L191" s="110">
        <v>1.5124824286738181</v>
      </c>
      <c r="M191" s="110"/>
      <c r="N191" s="110"/>
      <c r="O191" s="110"/>
      <c r="P191" s="110">
        <v>57.867710000000002</v>
      </c>
      <c r="Q191" s="110"/>
      <c r="R191" s="110"/>
      <c r="S191" s="110"/>
      <c r="T191" s="110"/>
    </row>
    <row r="192" spans="1:20">
      <c r="A192" s="110" t="s">
        <v>44</v>
      </c>
      <c r="B192" s="110" t="s">
        <v>108</v>
      </c>
      <c r="C192" s="110">
        <v>12700</v>
      </c>
      <c r="D192" s="110">
        <v>27.58005</v>
      </c>
      <c r="E192" s="110">
        <v>7142</v>
      </c>
      <c r="F192" s="110">
        <v>322.33999999999997</v>
      </c>
      <c r="G192" s="110">
        <v>0.80825450757155648</v>
      </c>
      <c r="H192" s="110">
        <v>1.6192384053408091</v>
      </c>
      <c r="I192" s="110">
        <v>23705.65</v>
      </c>
      <c r="J192" s="110">
        <v>430.14589999999998</v>
      </c>
      <c r="K192" s="110">
        <v>0.93071009957116069</v>
      </c>
      <c r="L192" s="110">
        <v>1.5133103513607804</v>
      </c>
      <c r="M192" s="110"/>
      <c r="N192" s="110"/>
      <c r="O192" s="110"/>
      <c r="P192" s="110">
        <v>62.61345</v>
      </c>
      <c r="Q192" s="110"/>
      <c r="R192" s="110"/>
      <c r="S192" s="110"/>
      <c r="T192" s="110"/>
    </row>
    <row r="193" spans="1:20">
      <c r="A193" s="110" t="s">
        <v>44</v>
      </c>
      <c r="B193" s="110" t="s">
        <v>108</v>
      </c>
      <c r="C193" s="110">
        <v>12700</v>
      </c>
      <c r="D193" s="110">
        <v>27.58005</v>
      </c>
      <c r="E193" s="110">
        <v>7142</v>
      </c>
      <c r="F193" s="110">
        <v>322.33999999999997</v>
      </c>
      <c r="G193" s="110">
        <v>0.80825450757155648</v>
      </c>
      <c r="H193" s="110">
        <v>1.6192384053408091</v>
      </c>
      <c r="I193" s="110">
        <v>22972.17</v>
      </c>
      <c r="J193" s="110">
        <v>426.79590000000002</v>
      </c>
      <c r="K193" s="110">
        <v>0.92153447867530458</v>
      </c>
      <c r="L193" s="110">
        <v>1.5124249141423662</v>
      </c>
      <c r="M193" s="110"/>
      <c r="N193" s="110"/>
      <c r="O193" s="110"/>
      <c r="P193" s="110">
        <v>68.21996</v>
      </c>
      <c r="Q193" s="110"/>
      <c r="R193" s="110"/>
      <c r="S193" s="110"/>
      <c r="T193" s="110"/>
    </row>
    <row r="194" spans="1:20">
      <c r="A194" s="110" t="s">
        <v>44</v>
      </c>
      <c r="B194" s="110" t="s">
        <v>108</v>
      </c>
      <c r="C194" s="110">
        <v>12700</v>
      </c>
      <c r="D194" s="110">
        <v>27.58005</v>
      </c>
      <c r="E194" s="110">
        <v>7142</v>
      </c>
      <c r="F194" s="110">
        <v>322.33999999999997</v>
      </c>
      <c r="G194" s="110">
        <v>0.80825450757155648</v>
      </c>
      <c r="H194" s="110">
        <v>1.6192384053408091</v>
      </c>
      <c r="I194" s="110">
        <v>22756.7</v>
      </c>
      <c r="J194" s="110">
        <v>425.90230000000003</v>
      </c>
      <c r="K194" s="110">
        <v>0.91994436349685504</v>
      </c>
      <c r="L194" s="110">
        <v>1.5292278771255476</v>
      </c>
      <c r="M194" s="110"/>
      <c r="N194" s="110"/>
      <c r="O194" s="110"/>
      <c r="P194" s="110">
        <v>69.707099999999997</v>
      </c>
      <c r="Q194" s="110"/>
      <c r="R194" s="110"/>
      <c r="S194" s="110"/>
      <c r="T194" s="110"/>
    </row>
    <row r="195" spans="1:20">
      <c r="A195" s="110" t="s">
        <v>44</v>
      </c>
      <c r="B195" s="110" t="s">
        <v>108</v>
      </c>
      <c r="C195" s="110">
        <v>12700</v>
      </c>
      <c r="D195" s="110">
        <v>27.58005</v>
      </c>
      <c r="E195" s="110">
        <v>7142</v>
      </c>
      <c r="F195" s="110">
        <v>322.33999999999997</v>
      </c>
      <c r="G195" s="110">
        <v>0.80825450757155648</v>
      </c>
      <c r="H195" s="110">
        <v>1.6192384053408091</v>
      </c>
      <c r="I195" s="110">
        <v>22691.579999999998</v>
      </c>
      <c r="J195" s="110">
        <v>425.64319999999998</v>
      </c>
      <c r="K195" s="110">
        <v>0.91966421473222337</v>
      </c>
      <c r="L195" s="110">
        <v>1.5293194673766939</v>
      </c>
      <c r="M195" s="110"/>
      <c r="N195" s="110"/>
      <c r="O195" s="110"/>
      <c r="P195" s="110">
        <v>70.111000000000004</v>
      </c>
      <c r="Q195" s="110"/>
      <c r="R195" s="110"/>
      <c r="S195" s="110"/>
      <c r="T195" s="110"/>
    </row>
    <row r="196" spans="1:20">
      <c r="A196" s="110" t="s">
        <v>44</v>
      </c>
      <c r="B196" s="110" t="s">
        <v>108</v>
      </c>
      <c r="C196" s="110">
        <v>12700</v>
      </c>
      <c r="D196" s="110">
        <v>27.58005</v>
      </c>
      <c r="E196" s="110">
        <v>7142</v>
      </c>
      <c r="F196" s="110">
        <v>322.33999999999997</v>
      </c>
      <c r="G196" s="110">
        <v>0.80825450757155648</v>
      </c>
      <c r="H196" s="110">
        <v>1.6192384053408091</v>
      </c>
      <c r="I196" s="110">
        <v>22454.87</v>
      </c>
      <c r="J196" s="110">
        <v>424.71940000000001</v>
      </c>
      <c r="K196" s="110">
        <v>0.91853408528685476</v>
      </c>
      <c r="L196" s="110">
        <v>1.5294932474729261</v>
      </c>
      <c r="M196" s="110"/>
      <c r="N196" s="110"/>
      <c r="O196" s="110"/>
      <c r="P196" s="110">
        <v>71.49982</v>
      </c>
      <c r="Q196" s="110"/>
      <c r="R196" s="110"/>
      <c r="S196" s="110"/>
      <c r="T196" s="110"/>
    </row>
    <row r="197" spans="1:20">
      <c r="A197" s="110" t="s">
        <v>44</v>
      </c>
      <c r="B197" s="110" t="s">
        <v>108</v>
      </c>
      <c r="C197" s="110">
        <v>12700</v>
      </c>
      <c r="D197" s="110">
        <v>27.58005</v>
      </c>
      <c r="E197" s="110">
        <v>7142</v>
      </c>
      <c r="F197" s="110">
        <v>322.33999999999997</v>
      </c>
      <c r="G197" s="110">
        <v>0.80825450757155648</v>
      </c>
      <c r="H197" s="110">
        <v>1.6192384053408091</v>
      </c>
      <c r="I197" s="110">
        <v>21752.77</v>
      </c>
      <c r="J197" s="110">
        <v>422.13409999999999</v>
      </c>
      <c r="K197" s="110">
        <v>0.91414695045916528</v>
      </c>
      <c r="L197" s="110">
        <v>1.5291004460289379</v>
      </c>
      <c r="M197" s="110"/>
      <c r="N197" s="110"/>
      <c r="O197" s="110"/>
      <c r="P197" s="110">
        <v>75.041669999999996</v>
      </c>
      <c r="Q197" s="110"/>
      <c r="R197" s="110"/>
      <c r="S197" s="110"/>
      <c r="T197" s="110"/>
    </row>
    <row r="198" spans="1:20">
      <c r="A198" s="110" t="s">
        <v>44</v>
      </c>
      <c r="B198" s="110" t="s">
        <v>108</v>
      </c>
      <c r="C198" s="110">
        <v>12700</v>
      </c>
      <c r="D198" s="110">
        <v>27.58005</v>
      </c>
      <c r="E198" s="110">
        <v>7142</v>
      </c>
      <c r="F198" s="110">
        <v>322.33999999999997</v>
      </c>
      <c r="G198" s="110">
        <v>0.80825450757155648</v>
      </c>
      <c r="H198" s="110">
        <v>1.6192384053408091</v>
      </c>
      <c r="I198" s="110">
        <v>21435.34</v>
      </c>
      <c r="J198" s="110">
        <v>420.99009999999998</v>
      </c>
      <c r="K198" s="110">
        <v>0.9115884383269639</v>
      </c>
      <c r="L198" s="110">
        <v>1.5286174826861687</v>
      </c>
      <c r="M198" s="110"/>
      <c r="N198" s="110"/>
      <c r="O198" s="110"/>
      <c r="P198" s="110">
        <v>76.395690000000002</v>
      </c>
      <c r="Q198" s="110"/>
      <c r="R198" s="110"/>
      <c r="S198" s="110"/>
      <c r="T198" s="110"/>
    </row>
    <row r="199" spans="1:20">
      <c r="A199" s="110" t="s">
        <v>44</v>
      </c>
      <c r="B199" s="110" t="s">
        <v>108</v>
      </c>
      <c r="C199" s="110">
        <v>12700</v>
      </c>
      <c r="D199" s="110">
        <v>27.58005</v>
      </c>
      <c r="E199" s="110">
        <v>7142</v>
      </c>
      <c r="F199" s="110">
        <v>322.33999999999997</v>
      </c>
      <c r="G199" s="110">
        <v>0.80825450757155648</v>
      </c>
      <c r="H199" s="110">
        <v>1.6192384053408091</v>
      </c>
      <c r="I199" s="110">
        <v>20535.810000000001</v>
      </c>
      <c r="J199" s="110">
        <v>417.79219999999998</v>
      </c>
      <c r="K199" s="110">
        <v>0.90236151127289876</v>
      </c>
      <c r="L199" s="110">
        <v>1.5261978154996452</v>
      </c>
      <c r="M199" s="110"/>
      <c r="N199" s="110"/>
      <c r="O199" s="110"/>
      <c r="P199" s="110">
        <v>79.885620000000003</v>
      </c>
      <c r="Q199" s="110"/>
      <c r="R199" s="110"/>
      <c r="S199" s="110"/>
      <c r="T199" s="110"/>
    </row>
    <row r="200" spans="1:20">
      <c r="A200" s="110" t="s">
        <v>44</v>
      </c>
      <c r="B200" s="110" t="s">
        <v>108</v>
      </c>
      <c r="C200" s="110">
        <v>12700</v>
      </c>
      <c r="D200" s="110">
        <v>27.58005</v>
      </c>
      <c r="E200" s="110">
        <v>7142</v>
      </c>
      <c r="F200" s="110">
        <v>322.33999999999997</v>
      </c>
      <c r="G200" s="110">
        <v>0.80825450757155648</v>
      </c>
      <c r="H200" s="110">
        <v>1.6192384053408091</v>
      </c>
      <c r="I200" s="110">
        <v>19900.47</v>
      </c>
      <c r="J200" s="110">
        <v>415.6164</v>
      </c>
      <c r="K200" s="110">
        <v>0.90029098035856403</v>
      </c>
      <c r="L200" s="110">
        <v>1.5350638821398959</v>
      </c>
      <c r="M200" s="110"/>
      <c r="N200" s="110"/>
      <c r="O200" s="110"/>
      <c r="P200" s="110">
        <v>81.872569999999996</v>
      </c>
      <c r="Q200" s="110"/>
      <c r="R200" s="110"/>
      <c r="S200" s="110"/>
      <c r="T200" s="110"/>
    </row>
    <row r="201" spans="1:20">
      <c r="A201" s="110" t="s">
        <v>44</v>
      </c>
      <c r="B201" s="110" t="s">
        <v>108</v>
      </c>
      <c r="C201" s="110">
        <v>12700</v>
      </c>
      <c r="D201" s="110">
        <v>27.58005</v>
      </c>
      <c r="E201" s="110">
        <v>7142</v>
      </c>
      <c r="F201" s="110">
        <v>322.33999999999997</v>
      </c>
      <c r="G201" s="110">
        <v>0.80825450757155648</v>
      </c>
      <c r="H201" s="110">
        <v>1.6192384053408091</v>
      </c>
      <c r="I201" s="110">
        <v>18750.100000000002</v>
      </c>
      <c r="J201" s="110">
        <v>411.8141</v>
      </c>
      <c r="K201" s="110">
        <v>0.8928167098392128</v>
      </c>
      <c r="L201" s="110">
        <v>1.5319505784207137</v>
      </c>
      <c r="M201" s="110"/>
      <c r="N201" s="110"/>
      <c r="O201" s="110"/>
      <c r="P201" s="110">
        <v>84.679770000000005</v>
      </c>
      <c r="Q201" s="110"/>
      <c r="R201" s="110"/>
      <c r="S201" s="110"/>
      <c r="T201" s="110"/>
    </row>
    <row r="202" spans="1:20">
      <c r="A202" s="110" t="s">
        <v>44</v>
      </c>
      <c r="B202" s="110" t="s">
        <v>108</v>
      </c>
      <c r="C202" s="110">
        <v>12700</v>
      </c>
      <c r="D202" s="110">
        <v>27.58005</v>
      </c>
      <c r="E202" s="110">
        <v>7142</v>
      </c>
      <c r="F202" s="110">
        <v>322.33999999999997</v>
      </c>
      <c r="G202" s="110">
        <v>0.80825450757155648</v>
      </c>
      <c r="H202" s="110">
        <v>1.6192384053408091</v>
      </c>
      <c r="I202" s="110">
        <v>18146.739999999998</v>
      </c>
      <c r="J202" s="110">
        <v>409.8562</v>
      </c>
      <c r="K202" s="110">
        <v>0.88854765122737811</v>
      </c>
      <c r="L202" s="110">
        <v>1.5325433637072492</v>
      </c>
      <c r="M202" s="110"/>
      <c r="N202" s="110"/>
      <c r="O202" s="110"/>
      <c r="P202" s="110">
        <v>85.797709999999995</v>
      </c>
      <c r="Q202" s="110"/>
      <c r="R202" s="110"/>
      <c r="S202" s="110"/>
      <c r="T202" s="110"/>
    </row>
    <row r="203" spans="1:20">
      <c r="A203" s="110" t="s">
        <v>44</v>
      </c>
      <c r="B203" s="110" t="s">
        <v>108</v>
      </c>
      <c r="C203" s="110">
        <v>12700</v>
      </c>
      <c r="D203" s="110">
        <v>27.58005</v>
      </c>
      <c r="E203" s="110">
        <v>7142</v>
      </c>
      <c r="F203" s="110">
        <v>322.33999999999997</v>
      </c>
      <c r="G203" s="110">
        <v>0.80825450757155648</v>
      </c>
      <c r="H203" s="110">
        <v>1.6192384053408091</v>
      </c>
      <c r="I203" s="110">
        <v>17030.38</v>
      </c>
      <c r="J203" s="110">
        <v>406.27120000000002</v>
      </c>
      <c r="K203" s="110">
        <v>0.88525080758242669</v>
      </c>
      <c r="L203" s="110">
        <v>1.5304886525284747</v>
      </c>
      <c r="M203" s="110"/>
      <c r="N203" s="110"/>
      <c r="O203" s="110"/>
      <c r="P203" s="110">
        <v>87.452550000000002</v>
      </c>
      <c r="Q203" s="110"/>
      <c r="R203" s="110"/>
      <c r="S203" s="110"/>
      <c r="T203" s="110"/>
    </row>
    <row r="204" spans="1:20">
      <c r="A204" s="110" t="s">
        <v>44</v>
      </c>
      <c r="B204" s="110" t="s">
        <v>108</v>
      </c>
      <c r="C204" s="110">
        <v>12700</v>
      </c>
      <c r="D204" s="110">
        <v>27.58005</v>
      </c>
      <c r="E204" s="110">
        <v>7142</v>
      </c>
      <c r="F204" s="110">
        <v>322.33999999999997</v>
      </c>
      <c r="G204" s="110">
        <v>0.80825450757155648</v>
      </c>
      <c r="H204" s="110">
        <v>1.6192384053408091</v>
      </c>
      <c r="I204" s="110">
        <v>16506.2</v>
      </c>
      <c r="J204" s="110">
        <v>404.52069999999998</v>
      </c>
      <c r="K204" s="110">
        <v>0.88100119373566854</v>
      </c>
      <c r="L204" s="110">
        <v>1.5289112612948765</v>
      </c>
      <c r="M204" s="110"/>
      <c r="N204" s="110"/>
      <c r="O204" s="110"/>
      <c r="P204" s="110">
        <v>88.153930000000003</v>
      </c>
      <c r="Q204" s="110"/>
      <c r="R204" s="110"/>
      <c r="S204" s="110"/>
      <c r="T204" s="110"/>
    </row>
    <row r="205" spans="1:20">
      <c r="A205" s="110" t="s">
        <v>44</v>
      </c>
      <c r="B205" s="110" t="s">
        <v>108</v>
      </c>
      <c r="C205" s="110">
        <v>12700</v>
      </c>
      <c r="D205" s="110">
        <v>27.58005</v>
      </c>
      <c r="E205" s="110">
        <v>7142</v>
      </c>
      <c r="F205" s="110">
        <v>322.33999999999997</v>
      </c>
      <c r="G205" s="110">
        <v>0.80825450757155648</v>
      </c>
      <c r="H205" s="110">
        <v>1.6192384053408091</v>
      </c>
      <c r="I205" s="110">
        <v>15316.569999999998</v>
      </c>
      <c r="J205" s="110">
        <v>400.4812</v>
      </c>
      <c r="K205" s="110">
        <v>0.87899687234019541</v>
      </c>
      <c r="L205" s="110">
        <v>1.5257573528651314</v>
      </c>
      <c r="M205" s="110"/>
      <c r="N205" s="110"/>
      <c r="O205" s="110"/>
      <c r="P205" s="110">
        <v>89.544460000000001</v>
      </c>
      <c r="Q205" s="110"/>
      <c r="R205" s="110"/>
      <c r="S205" s="110"/>
      <c r="T205" s="110"/>
    </row>
    <row r="206" spans="1:20">
      <c r="A206" s="110" t="s">
        <v>44</v>
      </c>
      <c r="B206" s="110" t="s">
        <v>108</v>
      </c>
      <c r="C206" s="110">
        <v>12700</v>
      </c>
      <c r="D206" s="110">
        <v>27.58005</v>
      </c>
      <c r="E206" s="110">
        <v>7142</v>
      </c>
      <c r="F206" s="110">
        <v>322.33999999999997</v>
      </c>
      <c r="G206" s="110">
        <v>0.80825450757155648</v>
      </c>
      <c r="H206" s="110">
        <v>1.6192384053408091</v>
      </c>
      <c r="I206" s="110">
        <v>14762.67</v>
      </c>
      <c r="J206" s="110">
        <v>398.53640000000001</v>
      </c>
      <c r="K206" s="110">
        <v>0.87520611364856449</v>
      </c>
      <c r="L206" s="110">
        <v>1.5256225860606036</v>
      </c>
      <c r="M206" s="110"/>
      <c r="N206" s="110"/>
      <c r="O206" s="110"/>
      <c r="P206" s="110">
        <v>90.144679999999994</v>
      </c>
      <c r="Q206" s="110"/>
      <c r="R206" s="110"/>
      <c r="S206" s="110"/>
      <c r="T206" s="110"/>
    </row>
    <row r="207" spans="1:20">
      <c r="A207" s="110" t="s">
        <v>44</v>
      </c>
      <c r="B207" s="110" t="s">
        <v>108</v>
      </c>
      <c r="C207" s="110">
        <v>12700</v>
      </c>
      <c r="D207" s="110">
        <v>27.58005</v>
      </c>
      <c r="E207" s="110">
        <v>7142</v>
      </c>
      <c r="F207" s="110">
        <v>322.33999999999997</v>
      </c>
      <c r="G207" s="110">
        <v>0.80825450757155648</v>
      </c>
      <c r="H207" s="110">
        <v>1.6192384053408091</v>
      </c>
      <c r="I207" s="110">
        <v>13452.68</v>
      </c>
      <c r="J207" s="110">
        <v>393.83940000000001</v>
      </c>
      <c r="K207" s="110">
        <v>0.87430483624170285</v>
      </c>
      <c r="L207" s="110">
        <v>1.5152896337321422</v>
      </c>
      <c r="M207" s="110"/>
      <c r="N207" s="110"/>
      <c r="O207" s="110"/>
      <c r="P207" s="110">
        <v>91.309489999999997</v>
      </c>
      <c r="Q207" s="110"/>
      <c r="R207" s="110"/>
      <c r="S207" s="110"/>
      <c r="T207" s="110"/>
    </row>
    <row r="208" spans="1:20">
      <c r="A208" s="110" t="s">
        <v>44</v>
      </c>
      <c r="B208" s="110" t="s">
        <v>108</v>
      </c>
      <c r="C208" s="110">
        <v>12065</v>
      </c>
      <c r="D208" s="110">
        <v>27.58005</v>
      </c>
      <c r="E208" s="110">
        <v>7142</v>
      </c>
      <c r="F208" s="110">
        <v>322.33999999999997</v>
      </c>
      <c r="G208" s="110">
        <v>0.80825450757155648</v>
      </c>
      <c r="H208" s="110">
        <v>1.6192384053408091</v>
      </c>
      <c r="I208" s="110">
        <v>22369.84</v>
      </c>
      <c r="J208" s="110">
        <v>426.2002</v>
      </c>
      <c r="K208" s="110">
        <v>0.92064445661280914</v>
      </c>
      <c r="L208" s="110">
        <v>1.5233388704699915</v>
      </c>
      <c r="M208" s="110"/>
      <c r="N208" s="110"/>
      <c r="O208" s="110"/>
      <c r="P208" s="110">
        <v>48.771160000000002</v>
      </c>
      <c r="Q208" s="110"/>
      <c r="R208" s="110"/>
      <c r="S208" s="110"/>
      <c r="T208" s="110"/>
    </row>
    <row r="209" spans="1:20">
      <c r="A209" s="110" t="s">
        <v>44</v>
      </c>
      <c r="B209" s="110" t="s">
        <v>108</v>
      </c>
      <c r="C209" s="110">
        <v>12065</v>
      </c>
      <c r="D209" s="110">
        <v>27.58005</v>
      </c>
      <c r="E209" s="110">
        <v>7142</v>
      </c>
      <c r="F209" s="110">
        <v>322.33999999999997</v>
      </c>
      <c r="G209" s="110">
        <v>0.80825450757155648</v>
      </c>
      <c r="H209" s="110">
        <v>1.6192384053408091</v>
      </c>
      <c r="I209" s="110">
        <v>22294.45</v>
      </c>
      <c r="J209" s="110">
        <v>425.66</v>
      </c>
      <c r="K209" s="110">
        <v>0.91987145017448746</v>
      </c>
      <c r="L209" s="110">
        <v>1.5242360846261218</v>
      </c>
      <c r="M209" s="110"/>
      <c r="N209" s="110"/>
      <c r="O209" s="110"/>
      <c r="P209" s="110">
        <v>49.861460000000001</v>
      </c>
      <c r="Q209" s="110"/>
      <c r="R209" s="110"/>
      <c r="S209" s="110"/>
      <c r="T209" s="110"/>
    </row>
    <row r="210" spans="1:20">
      <c r="A210" s="110" t="s">
        <v>44</v>
      </c>
      <c r="B210" s="110" t="s">
        <v>108</v>
      </c>
      <c r="C210" s="110">
        <v>12065</v>
      </c>
      <c r="D210" s="110">
        <v>27.58005</v>
      </c>
      <c r="E210" s="110">
        <v>7142</v>
      </c>
      <c r="F210" s="110">
        <v>322.33999999999997</v>
      </c>
      <c r="G210" s="110">
        <v>0.80825450757155648</v>
      </c>
      <c r="H210" s="110">
        <v>1.6192384053408091</v>
      </c>
      <c r="I210" s="110">
        <v>22184.84</v>
      </c>
      <c r="J210" s="110">
        <v>424.95030000000003</v>
      </c>
      <c r="K210" s="110">
        <v>0.91881351282245893</v>
      </c>
      <c r="L210" s="110">
        <v>1.5252595170961767</v>
      </c>
      <c r="M210" s="110"/>
      <c r="N210" s="110"/>
      <c r="O210" s="110"/>
      <c r="P210" s="110">
        <v>51.259830000000001</v>
      </c>
      <c r="Q210" s="110"/>
      <c r="R210" s="110"/>
      <c r="S210" s="110"/>
      <c r="T210" s="110"/>
    </row>
    <row r="211" spans="1:20">
      <c r="A211" s="110" t="s">
        <v>44</v>
      </c>
      <c r="B211" s="110" t="s">
        <v>108</v>
      </c>
      <c r="C211" s="110">
        <v>12065</v>
      </c>
      <c r="D211" s="110">
        <v>27.58005</v>
      </c>
      <c r="E211" s="110">
        <v>7142</v>
      </c>
      <c r="F211" s="110">
        <v>322.33999999999997</v>
      </c>
      <c r="G211" s="110">
        <v>0.80825450757155648</v>
      </c>
      <c r="H211" s="110">
        <v>1.6192384053408091</v>
      </c>
      <c r="I211" s="110">
        <v>21923.1</v>
      </c>
      <c r="J211" s="110">
        <v>423.39920000000001</v>
      </c>
      <c r="K211" s="110">
        <v>0.9162977355360773</v>
      </c>
      <c r="L211" s="110">
        <v>1.5271187575060545</v>
      </c>
      <c r="M211" s="110"/>
      <c r="N211" s="110"/>
      <c r="O211" s="110"/>
      <c r="P211" s="110">
        <v>54.177619999999997</v>
      </c>
      <c r="Q211" s="110"/>
      <c r="R211" s="110"/>
      <c r="S211" s="110"/>
      <c r="T211" s="110"/>
    </row>
    <row r="212" spans="1:20">
      <c r="A212" s="110" t="s">
        <v>44</v>
      </c>
      <c r="B212" s="110" t="s">
        <v>108</v>
      </c>
      <c r="C212" s="110">
        <v>12065</v>
      </c>
      <c r="D212" s="110">
        <v>27.58005</v>
      </c>
      <c r="E212" s="110">
        <v>7142</v>
      </c>
      <c r="F212" s="110">
        <v>322.33999999999997</v>
      </c>
      <c r="G212" s="110">
        <v>0.80825450757155648</v>
      </c>
      <c r="H212" s="110">
        <v>1.6192384053408091</v>
      </c>
      <c r="I212" s="110">
        <v>21899.65</v>
      </c>
      <c r="J212" s="110">
        <v>423.2704</v>
      </c>
      <c r="K212" s="110">
        <v>0.91607369190056587</v>
      </c>
      <c r="L212" s="110">
        <v>1.5272444148356841</v>
      </c>
      <c r="M212" s="110"/>
      <c r="N212" s="110"/>
      <c r="O212" s="110"/>
      <c r="P212" s="110">
        <v>54.388910000000003</v>
      </c>
      <c r="Q212" s="110"/>
      <c r="R212" s="110"/>
      <c r="S212" s="110"/>
      <c r="T212" s="110"/>
    </row>
    <row r="213" spans="1:20">
      <c r="A213" s="110" t="s">
        <v>44</v>
      </c>
      <c r="B213" s="110" t="s">
        <v>108</v>
      </c>
      <c r="C213" s="110">
        <v>12065</v>
      </c>
      <c r="D213" s="110">
        <v>27.58005</v>
      </c>
      <c r="E213" s="110">
        <v>7142</v>
      </c>
      <c r="F213" s="110">
        <v>322.33999999999997</v>
      </c>
      <c r="G213" s="110">
        <v>0.80825450757155648</v>
      </c>
      <c r="H213" s="110">
        <v>1.6192384053408091</v>
      </c>
      <c r="I213" s="110">
        <v>21592.07</v>
      </c>
      <c r="J213" s="110">
        <v>421.61099999999999</v>
      </c>
      <c r="K213" s="110">
        <v>0.91297997771101169</v>
      </c>
      <c r="L213" s="110">
        <v>1.528699722444659</v>
      </c>
      <c r="M213" s="110"/>
      <c r="N213" s="110"/>
      <c r="O213" s="110"/>
      <c r="P213" s="110">
        <v>57.197789999999998</v>
      </c>
      <c r="Q213" s="110"/>
      <c r="R213" s="110"/>
      <c r="S213" s="110"/>
      <c r="T213" s="110"/>
    </row>
    <row r="214" spans="1:20">
      <c r="A214" s="110" t="s">
        <v>44</v>
      </c>
      <c r="B214" s="110" t="s">
        <v>108</v>
      </c>
      <c r="C214" s="110">
        <v>12065</v>
      </c>
      <c r="D214" s="110">
        <v>27.58005</v>
      </c>
      <c r="E214" s="110">
        <v>7142</v>
      </c>
      <c r="F214" s="110">
        <v>322.33999999999997</v>
      </c>
      <c r="G214" s="110">
        <v>0.80825450757155648</v>
      </c>
      <c r="H214" s="110">
        <v>1.6192384053408091</v>
      </c>
      <c r="I214" s="110">
        <v>21429.48</v>
      </c>
      <c r="J214" s="110">
        <v>420.76350000000002</v>
      </c>
      <c r="K214" s="110">
        <v>0.91123959564928114</v>
      </c>
      <c r="L214" s="110">
        <v>1.5290716898698966</v>
      </c>
      <c r="M214" s="110"/>
      <c r="N214" s="110"/>
      <c r="O214" s="110"/>
      <c r="P214" s="110">
        <v>58.633429999999997</v>
      </c>
      <c r="Q214" s="110"/>
      <c r="R214" s="110"/>
      <c r="S214" s="110"/>
      <c r="T214" s="110"/>
    </row>
    <row r="215" spans="1:20">
      <c r="A215" s="110" t="s">
        <v>44</v>
      </c>
      <c r="B215" s="110" t="s">
        <v>108</v>
      </c>
      <c r="C215" s="110">
        <v>12065</v>
      </c>
      <c r="D215" s="110">
        <v>27.58005</v>
      </c>
      <c r="E215" s="110">
        <v>7142</v>
      </c>
      <c r="F215" s="110">
        <v>322.33999999999997</v>
      </c>
      <c r="G215" s="110">
        <v>0.80825450757155648</v>
      </c>
      <c r="H215" s="110">
        <v>1.6192384053408091</v>
      </c>
      <c r="I215" s="110">
        <v>21179.8</v>
      </c>
      <c r="J215" s="110">
        <v>419.50470000000001</v>
      </c>
      <c r="K215" s="110">
        <v>0.90843173549288925</v>
      </c>
      <c r="L215" s="110">
        <v>1.5293431991950108</v>
      </c>
      <c r="M215" s="110"/>
      <c r="N215" s="110"/>
      <c r="O215" s="110"/>
      <c r="P215" s="110">
        <v>60.778199999999998</v>
      </c>
      <c r="Q215" s="110"/>
      <c r="R215" s="110"/>
      <c r="S215" s="110"/>
      <c r="T215" s="110"/>
    </row>
    <row r="216" spans="1:20">
      <c r="A216" s="110" t="s">
        <v>44</v>
      </c>
      <c r="B216" s="110" t="s">
        <v>108</v>
      </c>
      <c r="C216" s="110">
        <v>12065</v>
      </c>
      <c r="D216" s="110">
        <v>27.58005</v>
      </c>
      <c r="E216" s="110">
        <v>7142</v>
      </c>
      <c r="F216" s="110">
        <v>322.33999999999997</v>
      </c>
      <c r="G216" s="110">
        <v>0.80825450757155648</v>
      </c>
      <c r="H216" s="110">
        <v>1.6192384053408091</v>
      </c>
      <c r="I216" s="110">
        <v>20605.439999999999</v>
      </c>
      <c r="J216" s="110">
        <v>416.81079999999997</v>
      </c>
      <c r="K216" s="110">
        <v>0.90137256543020094</v>
      </c>
      <c r="L216" s="110">
        <v>1.5292412166847782</v>
      </c>
      <c r="M216" s="110"/>
      <c r="N216" s="110"/>
      <c r="O216" s="110"/>
      <c r="P216" s="110">
        <v>65.131360000000001</v>
      </c>
      <c r="Q216" s="110"/>
      <c r="R216" s="110"/>
      <c r="S216" s="110"/>
      <c r="T216" s="110"/>
    </row>
    <row r="217" spans="1:20">
      <c r="A217" s="110" t="s">
        <v>44</v>
      </c>
      <c r="B217" s="110" t="s">
        <v>108</v>
      </c>
      <c r="C217" s="110">
        <v>12065</v>
      </c>
      <c r="D217" s="110">
        <v>27.58005</v>
      </c>
      <c r="E217" s="110">
        <v>7142</v>
      </c>
      <c r="F217" s="110">
        <v>322.33999999999997</v>
      </c>
      <c r="G217" s="110">
        <v>0.80825450757155648</v>
      </c>
      <c r="H217" s="110">
        <v>1.6192384053408091</v>
      </c>
      <c r="I217" s="110">
        <v>20320.349999999999</v>
      </c>
      <c r="J217" s="110">
        <v>415.58330000000001</v>
      </c>
      <c r="K217" s="110">
        <v>0.89925579773085462</v>
      </c>
      <c r="L217" s="110">
        <v>1.540975768926649</v>
      </c>
      <c r="M217" s="110"/>
      <c r="N217" s="110"/>
      <c r="O217" s="110"/>
      <c r="P217" s="110">
        <v>66.857110000000006</v>
      </c>
      <c r="Q217" s="110"/>
      <c r="R217" s="110"/>
      <c r="S217" s="110"/>
      <c r="T217" s="110"/>
    </row>
    <row r="218" spans="1:20">
      <c r="A218" s="110" t="s">
        <v>44</v>
      </c>
      <c r="B218" s="110" t="s">
        <v>108</v>
      </c>
      <c r="C218" s="110">
        <v>12065</v>
      </c>
      <c r="D218" s="110">
        <v>27.58005</v>
      </c>
      <c r="E218" s="110">
        <v>7142</v>
      </c>
      <c r="F218" s="110">
        <v>322.33999999999997</v>
      </c>
      <c r="G218" s="110">
        <v>0.80825450757155648</v>
      </c>
      <c r="H218" s="110">
        <v>1.6192384053408091</v>
      </c>
      <c r="I218" s="110">
        <v>19845.61</v>
      </c>
      <c r="J218" s="110">
        <v>413.67070000000001</v>
      </c>
      <c r="K218" s="110">
        <v>0.89731203023753747</v>
      </c>
      <c r="L218" s="110">
        <v>1.5414317096285266</v>
      </c>
      <c r="M218" s="110"/>
      <c r="N218" s="110"/>
      <c r="O218" s="110"/>
      <c r="P218" s="110">
        <v>69.326790000000003</v>
      </c>
      <c r="Q218" s="110"/>
      <c r="R218" s="110"/>
      <c r="S218" s="110"/>
      <c r="T218" s="110"/>
    </row>
    <row r="219" spans="1:20">
      <c r="A219" s="110" t="s">
        <v>44</v>
      </c>
      <c r="B219" s="110" t="s">
        <v>108</v>
      </c>
      <c r="C219" s="110">
        <v>12065</v>
      </c>
      <c r="D219" s="110">
        <v>27.58005</v>
      </c>
      <c r="E219" s="110">
        <v>7142</v>
      </c>
      <c r="F219" s="110">
        <v>322.33999999999997</v>
      </c>
      <c r="G219" s="110">
        <v>0.80825450757155648</v>
      </c>
      <c r="H219" s="110">
        <v>1.6192384053408091</v>
      </c>
      <c r="I219" s="110">
        <v>18978.87</v>
      </c>
      <c r="J219" s="110">
        <v>410.28280000000001</v>
      </c>
      <c r="K219" s="110">
        <v>0.89117670712793973</v>
      </c>
      <c r="L219" s="110">
        <v>1.5412845618182445</v>
      </c>
      <c r="M219" s="110"/>
      <c r="N219" s="110"/>
      <c r="O219" s="110"/>
      <c r="P219" s="110">
        <v>73.273250000000004</v>
      </c>
      <c r="Q219" s="110"/>
      <c r="R219" s="110"/>
      <c r="S219" s="110"/>
      <c r="T219" s="110"/>
    </row>
    <row r="220" spans="1:20">
      <c r="A220" s="110" t="s">
        <v>44</v>
      </c>
      <c r="B220" s="110" t="s">
        <v>108</v>
      </c>
      <c r="C220" s="110">
        <v>12065</v>
      </c>
      <c r="D220" s="110">
        <v>27.58005</v>
      </c>
      <c r="E220" s="110">
        <v>7142</v>
      </c>
      <c r="F220" s="110">
        <v>322.33999999999997</v>
      </c>
      <c r="G220" s="110">
        <v>0.80825450757155648</v>
      </c>
      <c r="H220" s="110">
        <v>1.6192384053408091</v>
      </c>
      <c r="I220" s="110">
        <v>18327.690000000002</v>
      </c>
      <c r="J220" s="110">
        <v>407.86290000000002</v>
      </c>
      <c r="K220" s="110">
        <v>0.88445956759271072</v>
      </c>
      <c r="L220" s="110">
        <v>1.5402433471875856</v>
      </c>
      <c r="M220" s="110"/>
      <c r="N220" s="110"/>
      <c r="O220" s="110"/>
      <c r="P220" s="110">
        <v>75.571849999999998</v>
      </c>
      <c r="Q220" s="110"/>
      <c r="R220" s="110"/>
      <c r="S220" s="110"/>
      <c r="T220" s="110"/>
    </row>
    <row r="221" spans="1:20">
      <c r="A221" s="110" t="s">
        <v>44</v>
      </c>
      <c r="B221" s="110" t="s">
        <v>108</v>
      </c>
      <c r="C221" s="110">
        <v>12065</v>
      </c>
      <c r="D221" s="110">
        <v>27.58005</v>
      </c>
      <c r="E221" s="110">
        <v>7142</v>
      </c>
      <c r="F221" s="110">
        <v>322.33999999999997</v>
      </c>
      <c r="G221" s="110">
        <v>0.80825450757155648</v>
      </c>
      <c r="H221" s="110">
        <v>1.6192384053408091</v>
      </c>
      <c r="I221" s="110">
        <v>17356.45</v>
      </c>
      <c r="J221" s="110">
        <v>404.33940000000001</v>
      </c>
      <c r="K221" s="110">
        <v>0.88213865141911707</v>
      </c>
      <c r="L221" s="110">
        <v>1.5438815644827639</v>
      </c>
      <c r="M221" s="110"/>
      <c r="N221" s="110"/>
      <c r="O221" s="110"/>
      <c r="P221" s="110">
        <v>78.385540000000006</v>
      </c>
      <c r="Q221" s="110"/>
      <c r="R221" s="110"/>
      <c r="S221" s="110"/>
      <c r="T221" s="110"/>
    </row>
    <row r="222" spans="1:20">
      <c r="A222" s="110" t="s">
        <v>44</v>
      </c>
      <c r="B222" s="110" t="s">
        <v>108</v>
      </c>
      <c r="C222" s="110">
        <v>12065</v>
      </c>
      <c r="D222" s="110">
        <v>27.58005</v>
      </c>
      <c r="E222" s="110">
        <v>7142</v>
      </c>
      <c r="F222" s="110">
        <v>322.33999999999997</v>
      </c>
      <c r="G222" s="110">
        <v>0.80825450757155648</v>
      </c>
      <c r="H222" s="110">
        <v>1.6192384053408091</v>
      </c>
      <c r="I222" s="110">
        <v>16812.43</v>
      </c>
      <c r="J222" s="110">
        <v>402.39800000000002</v>
      </c>
      <c r="K222" s="110">
        <v>0.87842036616171471</v>
      </c>
      <c r="L222" s="110">
        <v>1.5430039327362401</v>
      </c>
      <c r="M222" s="110"/>
      <c r="N222" s="110"/>
      <c r="O222" s="110"/>
      <c r="P222" s="110">
        <v>79.696719999999999</v>
      </c>
      <c r="Q222" s="110"/>
      <c r="R222" s="110"/>
      <c r="S222" s="110"/>
      <c r="T222" s="110"/>
    </row>
    <row r="223" spans="1:20">
      <c r="A223" s="110" t="s">
        <v>44</v>
      </c>
      <c r="B223" s="110" t="s">
        <v>108</v>
      </c>
      <c r="C223" s="110">
        <v>12065</v>
      </c>
      <c r="D223" s="110">
        <v>27.58005</v>
      </c>
      <c r="E223" s="110">
        <v>7142</v>
      </c>
      <c r="F223" s="110">
        <v>322.33999999999997</v>
      </c>
      <c r="G223" s="110">
        <v>0.80825450757155648</v>
      </c>
      <c r="H223" s="110">
        <v>1.6192384053408091</v>
      </c>
      <c r="I223" s="110">
        <v>15617.63</v>
      </c>
      <c r="J223" s="110">
        <v>398.21179999999998</v>
      </c>
      <c r="K223" s="110">
        <v>0.87452825558970282</v>
      </c>
      <c r="L223" s="110">
        <v>1.5373563347546921</v>
      </c>
      <c r="M223" s="110"/>
      <c r="N223" s="110"/>
      <c r="O223" s="110"/>
      <c r="P223" s="110">
        <v>81.729609999999994</v>
      </c>
      <c r="Q223" s="110"/>
      <c r="R223" s="110"/>
      <c r="S223" s="110"/>
      <c r="T223" s="110"/>
    </row>
    <row r="224" spans="1:20">
      <c r="A224" s="110" t="s">
        <v>44</v>
      </c>
      <c r="B224" s="110" t="s">
        <v>108</v>
      </c>
      <c r="C224" s="110">
        <v>12065</v>
      </c>
      <c r="D224" s="110">
        <v>27.58005</v>
      </c>
      <c r="E224" s="110">
        <v>7142</v>
      </c>
      <c r="F224" s="110">
        <v>322.33999999999997</v>
      </c>
      <c r="G224" s="110">
        <v>0.80825450757155648</v>
      </c>
      <c r="H224" s="110">
        <v>1.6192384053408091</v>
      </c>
      <c r="I224" s="110">
        <v>15224.48</v>
      </c>
      <c r="J224" s="110">
        <v>396.82089999999999</v>
      </c>
      <c r="K224" s="110">
        <v>0.87295105985360533</v>
      </c>
      <c r="L224" s="110">
        <v>1.5370501784284372</v>
      </c>
      <c r="M224" s="110"/>
      <c r="N224" s="110"/>
      <c r="O224" s="110"/>
      <c r="P224" s="110">
        <v>82.302539999999993</v>
      </c>
      <c r="Q224" s="110"/>
      <c r="R224" s="110"/>
      <c r="S224" s="110"/>
      <c r="T224" s="110"/>
    </row>
    <row r="225" spans="1:20">
      <c r="A225" s="110" t="s">
        <v>44</v>
      </c>
      <c r="B225" s="110" t="s">
        <v>108</v>
      </c>
      <c r="C225" s="110">
        <v>12065</v>
      </c>
      <c r="D225" s="110">
        <v>27.58005</v>
      </c>
      <c r="E225" s="110">
        <v>7142</v>
      </c>
      <c r="F225" s="110">
        <v>322.33999999999997</v>
      </c>
      <c r="G225" s="110">
        <v>0.80825450757155648</v>
      </c>
      <c r="H225" s="110">
        <v>1.6192384053408091</v>
      </c>
      <c r="I225" s="110">
        <v>14311.67</v>
      </c>
      <c r="J225" s="110">
        <v>393.45729999999998</v>
      </c>
      <c r="K225" s="110">
        <v>0.86974220341080843</v>
      </c>
      <c r="L225" s="110">
        <v>1.529591378566914</v>
      </c>
      <c r="M225" s="110"/>
      <c r="N225" s="110"/>
      <c r="O225" s="110"/>
      <c r="P225" s="110">
        <v>83.544460000000001</v>
      </c>
      <c r="Q225" s="110"/>
      <c r="R225" s="110"/>
      <c r="S225" s="110"/>
      <c r="T225" s="110"/>
    </row>
    <row r="226" spans="1:20">
      <c r="A226" s="110" t="s">
        <v>44</v>
      </c>
      <c r="B226" s="110" t="s">
        <v>108</v>
      </c>
      <c r="C226" s="110">
        <v>12065</v>
      </c>
      <c r="D226" s="110">
        <v>27.58005</v>
      </c>
      <c r="E226" s="110">
        <v>7142</v>
      </c>
      <c r="F226" s="110">
        <v>322.33999999999997</v>
      </c>
      <c r="G226" s="110">
        <v>0.80825450757155648</v>
      </c>
      <c r="H226" s="110">
        <v>1.6192384053408091</v>
      </c>
      <c r="I226" s="110">
        <v>13728.41</v>
      </c>
      <c r="J226" s="110">
        <v>391.29730000000001</v>
      </c>
      <c r="K226" s="110">
        <v>0.86940111296173817</v>
      </c>
      <c r="L226" s="110">
        <v>1.5304613588132592</v>
      </c>
      <c r="M226" s="110"/>
      <c r="N226" s="110"/>
      <c r="O226" s="110"/>
      <c r="P226" s="110">
        <v>84.214839999999995</v>
      </c>
      <c r="Q226" s="110"/>
      <c r="R226" s="110"/>
      <c r="S226" s="110"/>
      <c r="T226" s="110"/>
    </row>
    <row r="227" spans="1:20">
      <c r="A227" s="110" t="s">
        <v>44</v>
      </c>
      <c r="B227" s="110" t="s">
        <v>108</v>
      </c>
      <c r="C227" s="110">
        <v>12065</v>
      </c>
      <c r="D227" s="110">
        <v>27.58005</v>
      </c>
      <c r="E227" s="110">
        <v>7142</v>
      </c>
      <c r="F227" s="110">
        <v>322.33999999999997</v>
      </c>
      <c r="G227" s="110">
        <v>0.80825450757155648</v>
      </c>
      <c r="H227" s="110">
        <v>1.6192384053408091</v>
      </c>
      <c r="I227" s="110">
        <v>12777.98</v>
      </c>
      <c r="J227" s="110">
        <v>387.63889999999998</v>
      </c>
      <c r="K227" s="110">
        <v>0.86743445652816287</v>
      </c>
      <c r="L227" s="110">
        <v>1.5151323016822276</v>
      </c>
      <c r="M227" s="110"/>
      <c r="N227" s="110"/>
      <c r="O227" s="110"/>
      <c r="P227" s="110">
        <v>85.173270000000002</v>
      </c>
      <c r="Q227" s="110"/>
      <c r="R227" s="110"/>
      <c r="S227" s="110"/>
      <c r="T227" s="110"/>
    </row>
    <row r="228" spans="1:20">
      <c r="A228" s="110" t="s">
        <v>44</v>
      </c>
      <c r="B228" s="110" t="s">
        <v>108</v>
      </c>
      <c r="C228" s="110">
        <v>11430</v>
      </c>
      <c r="D228" s="110">
        <v>27.58005</v>
      </c>
      <c r="E228" s="110">
        <v>7142</v>
      </c>
      <c r="F228" s="110">
        <v>322.33999999999997</v>
      </c>
      <c r="G228" s="110">
        <v>0.80825450757155648</v>
      </c>
      <c r="H228" s="110">
        <v>1.6192384053408091</v>
      </c>
      <c r="I228" s="110">
        <v>20344.939999999999</v>
      </c>
      <c r="J228" s="110">
        <v>417.63139999999999</v>
      </c>
      <c r="K228" s="110">
        <v>0.90221365523953523</v>
      </c>
      <c r="L228" s="110">
        <v>1.533595091077079</v>
      </c>
      <c r="M228" s="110"/>
      <c r="N228" s="110"/>
      <c r="O228" s="110"/>
      <c r="P228" s="110">
        <v>43.92353</v>
      </c>
      <c r="Q228" s="110"/>
      <c r="R228" s="110"/>
      <c r="S228" s="110"/>
      <c r="T228" s="110"/>
    </row>
    <row r="229" spans="1:20">
      <c r="A229" s="110" t="s">
        <v>44</v>
      </c>
      <c r="B229" s="110" t="s">
        <v>108</v>
      </c>
      <c r="C229" s="110">
        <v>11430</v>
      </c>
      <c r="D229" s="110">
        <v>27.58005</v>
      </c>
      <c r="E229" s="110">
        <v>7142</v>
      </c>
      <c r="F229" s="110">
        <v>322.33999999999997</v>
      </c>
      <c r="G229" s="110">
        <v>0.80825450757155648</v>
      </c>
      <c r="H229" s="110">
        <v>1.6192384053408091</v>
      </c>
      <c r="I229" s="110">
        <v>20196.449999999997</v>
      </c>
      <c r="J229" s="110">
        <v>416.45460000000003</v>
      </c>
      <c r="K229" s="110">
        <v>0.90093743345102628</v>
      </c>
      <c r="L229" s="110">
        <v>1.5360321708320939</v>
      </c>
      <c r="M229" s="110"/>
      <c r="N229" s="110"/>
      <c r="O229" s="110"/>
      <c r="P229" s="110">
        <v>46.255600000000001</v>
      </c>
      <c r="Q229" s="110"/>
      <c r="R229" s="110"/>
      <c r="S229" s="110"/>
      <c r="T229" s="110"/>
    </row>
    <row r="230" spans="1:20">
      <c r="A230" s="110" t="s">
        <v>44</v>
      </c>
      <c r="B230" s="110" t="s">
        <v>108</v>
      </c>
      <c r="C230" s="110">
        <v>11430</v>
      </c>
      <c r="D230" s="110">
        <v>27.58005</v>
      </c>
      <c r="E230" s="110">
        <v>7142</v>
      </c>
      <c r="F230" s="110">
        <v>322.33999999999997</v>
      </c>
      <c r="G230" s="110">
        <v>0.80825450757155648</v>
      </c>
      <c r="H230" s="110">
        <v>1.6192384053408091</v>
      </c>
      <c r="I230" s="110">
        <v>20083.62</v>
      </c>
      <c r="J230" s="110">
        <v>415.63490000000002</v>
      </c>
      <c r="K230" s="110">
        <v>0.89999234361527092</v>
      </c>
      <c r="L230" s="110">
        <v>1.5375539154453663</v>
      </c>
      <c r="M230" s="110"/>
      <c r="N230" s="110"/>
      <c r="O230" s="110"/>
      <c r="P230" s="110">
        <v>47.810020000000002</v>
      </c>
      <c r="Q230" s="110"/>
      <c r="R230" s="110"/>
      <c r="S230" s="110"/>
      <c r="T230" s="110"/>
    </row>
    <row r="231" spans="1:20">
      <c r="A231" s="110" t="s">
        <v>44</v>
      </c>
      <c r="B231" s="110" t="s">
        <v>108</v>
      </c>
      <c r="C231" s="110">
        <v>11430</v>
      </c>
      <c r="D231" s="110">
        <v>27.58005</v>
      </c>
      <c r="E231" s="110">
        <v>7142</v>
      </c>
      <c r="F231" s="110">
        <v>322.33999999999997</v>
      </c>
      <c r="G231" s="110">
        <v>0.80825450757155648</v>
      </c>
      <c r="H231" s="110">
        <v>1.6192384053408091</v>
      </c>
      <c r="I231" s="110">
        <v>19672.239999999998</v>
      </c>
      <c r="J231" s="110">
        <v>413.0686</v>
      </c>
      <c r="K231" s="110">
        <v>0.89648705260728956</v>
      </c>
      <c r="L231" s="110">
        <v>1.5411776916527367</v>
      </c>
      <c r="M231" s="110"/>
      <c r="N231" s="110"/>
      <c r="O231" s="110"/>
      <c r="P231" s="110">
        <v>52.180680000000002</v>
      </c>
      <c r="Q231" s="110"/>
      <c r="R231" s="110"/>
      <c r="S231" s="110"/>
      <c r="T231" s="110"/>
    </row>
    <row r="232" spans="1:20">
      <c r="A232" s="110" t="s">
        <v>44</v>
      </c>
      <c r="B232" s="110" t="s">
        <v>108</v>
      </c>
      <c r="C232" s="110">
        <v>11430</v>
      </c>
      <c r="D232" s="110">
        <v>27.58005</v>
      </c>
      <c r="E232" s="110">
        <v>7142</v>
      </c>
      <c r="F232" s="110">
        <v>322.33999999999997</v>
      </c>
      <c r="G232" s="110">
        <v>0.80825450757155648</v>
      </c>
      <c r="H232" s="110">
        <v>1.6192384053408091</v>
      </c>
      <c r="I232" s="110">
        <v>19043.7</v>
      </c>
      <c r="J232" s="110">
        <v>409.71230000000003</v>
      </c>
      <c r="K232" s="110">
        <v>0.89044487495098434</v>
      </c>
      <c r="L232" s="110">
        <v>1.5442256823990865</v>
      </c>
      <c r="M232" s="110"/>
      <c r="N232" s="110"/>
      <c r="O232" s="110"/>
      <c r="P232" s="110">
        <v>57.775239999999997</v>
      </c>
      <c r="Q232" s="110"/>
      <c r="R232" s="110"/>
      <c r="S232" s="110"/>
      <c r="T232" s="110"/>
    </row>
    <row r="233" spans="1:20">
      <c r="A233" s="110" t="s">
        <v>44</v>
      </c>
      <c r="B233" s="110" t="s">
        <v>108</v>
      </c>
      <c r="C233" s="110">
        <v>11430</v>
      </c>
      <c r="D233" s="110">
        <v>27.58005</v>
      </c>
      <c r="E233" s="110">
        <v>7142</v>
      </c>
      <c r="F233" s="110">
        <v>322.33999999999997</v>
      </c>
      <c r="G233" s="110">
        <v>0.80825450757155648</v>
      </c>
      <c r="H233" s="110">
        <v>1.6192384053408091</v>
      </c>
      <c r="I233" s="110">
        <v>18342.330000000002</v>
      </c>
      <c r="J233" s="110">
        <v>406.43689999999998</v>
      </c>
      <c r="K233" s="110">
        <v>0.88225456463703245</v>
      </c>
      <c r="L233" s="110">
        <v>1.5453508059661862</v>
      </c>
      <c r="M233" s="110"/>
      <c r="N233" s="110"/>
      <c r="O233" s="110"/>
      <c r="P233" s="110">
        <v>62.44267</v>
      </c>
      <c r="Q233" s="110"/>
      <c r="R233" s="110"/>
      <c r="S233" s="110"/>
      <c r="T233" s="110"/>
    </row>
    <row r="234" spans="1:20">
      <c r="A234" s="110" t="s">
        <v>44</v>
      </c>
      <c r="B234" s="110" t="s">
        <v>108</v>
      </c>
      <c r="C234" s="110">
        <v>11430</v>
      </c>
      <c r="D234" s="110">
        <v>27.58005</v>
      </c>
      <c r="E234" s="110">
        <v>7142</v>
      </c>
      <c r="F234" s="110">
        <v>322.33999999999997</v>
      </c>
      <c r="G234" s="110">
        <v>0.80825450757155648</v>
      </c>
      <c r="H234" s="110">
        <v>1.6192384053408091</v>
      </c>
      <c r="I234" s="110">
        <v>18322.509999999998</v>
      </c>
      <c r="J234" s="110">
        <v>406.34930000000003</v>
      </c>
      <c r="K234" s="110">
        <v>0.88199789523611993</v>
      </c>
      <c r="L234" s="110">
        <v>1.545367125093295</v>
      </c>
      <c r="M234" s="110"/>
      <c r="N234" s="110"/>
      <c r="O234" s="110"/>
      <c r="P234" s="110">
        <v>62.556269999999998</v>
      </c>
      <c r="Q234" s="110"/>
      <c r="R234" s="110"/>
      <c r="S234" s="110"/>
      <c r="T234" s="110"/>
    </row>
    <row r="235" spans="1:20">
      <c r="A235" s="110" t="s">
        <v>44</v>
      </c>
      <c r="B235" s="110" t="s">
        <v>108</v>
      </c>
      <c r="C235" s="110">
        <v>11430</v>
      </c>
      <c r="D235" s="110">
        <v>27.58005</v>
      </c>
      <c r="E235" s="110">
        <v>7142</v>
      </c>
      <c r="F235" s="110">
        <v>322.33999999999997</v>
      </c>
      <c r="G235" s="110">
        <v>0.80825450757155648</v>
      </c>
      <c r="H235" s="110">
        <v>1.6192384053408091</v>
      </c>
      <c r="I235" s="110">
        <v>18013.84</v>
      </c>
      <c r="J235" s="110">
        <v>404.99860000000001</v>
      </c>
      <c r="K235" s="110">
        <v>0.88143316453683029</v>
      </c>
      <c r="L235" s="110">
        <v>1.5513330681118249</v>
      </c>
      <c r="M235" s="110"/>
      <c r="N235" s="110"/>
      <c r="O235" s="110"/>
      <c r="P235" s="110">
        <v>64.261660000000006</v>
      </c>
      <c r="Q235" s="110"/>
      <c r="R235" s="110"/>
      <c r="S235" s="110"/>
      <c r="T235" s="110"/>
    </row>
    <row r="236" spans="1:20">
      <c r="A236" s="110" t="s">
        <v>44</v>
      </c>
      <c r="B236" s="110" t="s">
        <v>108</v>
      </c>
      <c r="C236" s="110">
        <v>11430</v>
      </c>
      <c r="D236" s="110">
        <v>27.58005</v>
      </c>
      <c r="E236" s="110">
        <v>7142</v>
      </c>
      <c r="F236" s="110">
        <v>322.33999999999997</v>
      </c>
      <c r="G236" s="110">
        <v>0.80825450757155648</v>
      </c>
      <c r="H236" s="110">
        <v>1.6192384053408091</v>
      </c>
      <c r="I236" s="110">
        <v>17274.34</v>
      </c>
      <c r="J236" s="110">
        <v>401.84230000000002</v>
      </c>
      <c r="K236" s="110">
        <v>0.87791525644549862</v>
      </c>
      <c r="L236" s="110">
        <v>1.5529455757486377</v>
      </c>
      <c r="M236" s="110"/>
      <c r="N236" s="110"/>
      <c r="O236" s="110"/>
      <c r="P236" s="110">
        <v>67.917259999999999</v>
      </c>
      <c r="Q236" s="110"/>
      <c r="R236" s="110"/>
      <c r="S236" s="110"/>
      <c r="T236" s="110"/>
    </row>
    <row r="237" spans="1:20">
      <c r="A237" s="110" t="s">
        <v>44</v>
      </c>
      <c r="B237" s="110" t="s">
        <v>108</v>
      </c>
      <c r="C237" s="110">
        <v>11430</v>
      </c>
      <c r="D237" s="110">
        <v>27.58005</v>
      </c>
      <c r="E237" s="110">
        <v>7142</v>
      </c>
      <c r="F237" s="110">
        <v>322.33999999999997</v>
      </c>
      <c r="G237" s="110">
        <v>0.80825450757155648</v>
      </c>
      <c r="H237" s="110">
        <v>1.6192384053408091</v>
      </c>
      <c r="I237" s="110">
        <v>16796.780000000002</v>
      </c>
      <c r="J237" s="110">
        <v>399.8997</v>
      </c>
      <c r="K237" s="110">
        <v>0.87410101794437034</v>
      </c>
      <c r="L237" s="110">
        <v>1.5532963889755442</v>
      </c>
      <c r="M237" s="110"/>
      <c r="N237" s="110"/>
      <c r="O237" s="110"/>
      <c r="P237" s="110">
        <v>69.835539999999995</v>
      </c>
      <c r="Q237" s="110"/>
      <c r="R237" s="110"/>
      <c r="S237" s="110"/>
      <c r="T237" s="110"/>
    </row>
    <row r="238" spans="1:20">
      <c r="A238" s="110" t="s">
        <v>44</v>
      </c>
      <c r="B238" s="110" t="s">
        <v>108</v>
      </c>
      <c r="C238" s="110">
        <v>11430</v>
      </c>
      <c r="D238" s="110">
        <v>27.58005</v>
      </c>
      <c r="E238" s="110">
        <v>7142</v>
      </c>
      <c r="F238" s="110">
        <v>322.33999999999997</v>
      </c>
      <c r="G238" s="110">
        <v>0.80825450757155648</v>
      </c>
      <c r="H238" s="110">
        <v>1.6192384053408091</v>
      </c>
      <c r="I238" s="110">
        <v>15905.98</v>
      </c>
      <c r="J238" s="110">
        <v>396.40519999999998</v>
      </c>
      <c r="K238" s="110">
        <v>0.8701313384669962</v>
      </c>
      <c r="L238" s="110">
        <v>1.5508621834391416</v>
      </c>
      <c r="M238" s="110"/>
      <c r="N238" s="110"/>
      <c r="O238" s="110"/>
      <c r="P238" s="110">
        <v>72.616680000000002</v>
      </c>
      <c r="Q238" s="110"/>
      <c r="R238" s="110"/>
      <c r="S238" s="110"/>
      <c r="T238" s="110"/>
    </row>
    <row r="239" spans="1:20">
      <c r="A239" s="110" t="s">
        <v>44</v>
      </c>
      <c r="B239" s="110" t="s">
        <v>108</v>
      </c>
      <c r="C239" s="110">
        <v>11430</v>
      </c>
      <c r="D239" s="110">
        <v>27.58005</v>
      </c>
      <c r="E239" s="110">
        <v>7142</v>
      </c>
      <c r="F239" s="110">
        <v>322.33999999999997</v>
      </c>
      <c r="G239" s="110">
        <v>0.80825450757155648</v>
      </c>
      <c r="H239" s="110">
        <v>1.6192384053408091</v>
      </c>
      <c r="I239" s="110">
        <v>15501.630000000001</v>
      </c>
      <c r="J239" s="110">
        <v>394.84309999999999</v>
      </c>
      <c r="K239" s="110">
        <v>0.86914600210376813</v>
      </c>
      <c r="L239" s="110">
        <v>1.5515151437376515</v>
      </c>
      <c r="M239" s="110"/>
      <c r="N239" s="110"/>
      <c r="O239" s="110"/>
      <c r="P239" s="110">
        <v>73.683009999999996</v>
      </c>
      <c r="Q239" s="110"/>
      <c r="R239" s="110"/>
      <c r="S239" s="110"/>
      <c r="T239" s="110"/>
    </row>
    <row r="240" spans="1:20">
      <c r="A240" s="110" t="s">
        <v>44</v>
      </c>
      <c r="B240" s="110" t="s">
        <v>108</v>
      </c>
      <c r="C240" s="110">
        <v>11430</v>
      </c>
      <c r="D240" s="110">
        <v>27.58005</v>
      </c>
      <c r="E240" s="110">
        <v>7142</v>
      </c>
      <c r="F240" s="110">
        <v>322.33999999999997</v>
      </c>
      <c r="G240" s="110">
        <v>0.80825450757155648</v>
      </c>
      <c r="H240" s="110">
        <v>1.6192384053408091</v>
      </c>
      <c r="I240" s="110">
        <v>14650</v>
      </c>
      <c r="J240" s="110">
        <v>391.56119999999999</v>
      </c>
      <c r="K240" s="110">
        <v>0.86280215190579801</v>
      </c>
      <c r="L240" s="110">
        <v>1.5399836779719134</v>
      </c>
      <c r="M240" s="110"/>
      <c r="N240" s="110"/>
      <c r="O240" s="110"/>
      <c r="P240" s="110">
        <v>75.616290000000006</v>
      </c>
      <c r="Q240" s="110"/>
      <c r="R240" s="110"/>
      <c r="S240" s="110"/>
      <c r="T240" s="110"/>
    </row>
    <row r="241" spans="1:20">
      <c r="A241" s="110" t="s">
        <v>44</v>
      </c>
      <c r="B241" s="110" t="s">
        <v>108</v>
      </c>
      <c r="C241" s="110">
        <v>11430</v>
      </c>
      <c r="D241" s="110">
        <v>27.58005</v>
      </c>
      <c r="E241" s="110">
        <v>7142</v>
      </c>
      <c r="F241" s="110">
        <v>322.33999999999997</v>
      </c>
      <c r="G241" s="110">
        <v>0.80825450757155648</v>
      </c>
      <c r="H241" s="110">
        <v>1.6192384053408091</v>
      </c>
      <c r="I241" s="110">
        <v>14131.7</v>
      </c>
      <c r="J241" s="110">
        <v>389.57119999999998</v>
      </c>
      <c r="K241" s="110">
        <v>0.86421870950234603</v>
      </c>
      <c r="L241" s="110">
        <v>1.540734153721689</v>
      </c>
      <c r="M241" s="110"/>
      <c r="N241" s="110"/>
      <c r="O241" s="110"/>
      <c r="P241" s="110">
        <v>76.494799999999998</v>
      </c>
      <c r="Q241" s="110"/>
      <c r="R241" s="110"/>
      <c r="S241" s="110"/>
      <c r="T241" s="110"/>
    </row>
    <row r="242" spans="1:20">
      <c r="A242" s="110" t="s">
        <v>44</v>
      </c>
      <c r="B242" s="110" t="s">
        <v>108</v>
      </c>
      <c r="C242" s="110">
        <v>11430</v>
      </c>
      <c r="D242" s="110">
        <v>27.58005</v>
      </c>
      <c r="E242" s="110">
        <v>7142</v>
      </c>
      <c r="F242" s="110">
        <v>322.33999999999997</v>
      </c>
      <c r="G242" s="110">
        <v>0.80825450757155648</v>
      </c>
      <c r="H242" s="110">
        <v>1.6192384053408091</v>
      </c>
      <c r="I242" s="110">
        <v>13368.44</v>
      </c>
      <c r="J242" s="110">
        <v>386.59379999999999</v>
      </c>
      <c r="K242" s="110">
        <v>0.86169419527424851</v>
      </c>
      <c r="L242" s="110">
        <v>1.5441643390484359</v>
      </c>
      <c r="M242" s="110"/>
      <c r="N242" s="110"/>
      <c r="O242" s="110"/>
      <c r="P242" s="110">
        <v>77.623760000000004</v>
      </c>
      <c r="Q242" s="110"/>
      <c r="R242" s="110"/>
      <c r="S242" s="110"/>
      <c r="T242" s="110"/>
    </row>
    <row r="243" spans="1:20">
      <c r="A243" s="110" t="s">
        <v>44</v>
      </c>
      <c r="B243" s="110" t="s">
        <v>108</v>
      </c>
      <c r="C243" s="110">
        <v>11430</v>
      </c>
      <c r="D243" s="110">
        <v>27.58005</v>
      </c>
      <c r="E243" s="110">
        <v>7142</v>
      </c>
      <c r="F243" s="110">
        <v>322.33999999999997</v>
      </c>
      <c r="G243" s="110">
        <v>0.80825450757155648</v>
      </c>
      <c r="H243" s="110">
        <v>1.6192384053408091</v>
      </c>
      <c r="I243" s="110">
        <v>12920.140000000001</v>
      </c>
      <c r="J243" s="110">
        <v>384.80560000000003</v>
      </c>
      <c r="K243" s="110">
        <v>0.86082875118002167</v>
      </c>
      <c r="L243" s="110">
        <v>1.5303333743646748</v>
      </c>
      <c r="M243" s="110"/>
      <c r="N243" s="110"/>
      <c r="O243" s="110"/>
      <c r="P243" s="110">
        <v>78.232280000000003</v>
      </c>
      <c r="Q243" s="110"/>
      <c r="R243" s="110"/>
      <c r="S243" s="110"/>
      <c r="T243" s="110"/>
    </row>
    <row r="244" spans="1:20">
      <c r="A244" s="110" t="s">
        <v>44</v>
      </c>
      <c r="B244" s="110" t="s">
        <v>108</v>
      </c>
      <c r="C244" s="110">
        <v>11430</v>
      </c>
      <c r="D244" s="110">
        <v>27.58005</v>
      </c>
      <c r="E244" s="110">
        <v>7142</v>
      </c>
      <c r="F244" s="110">
        <v>322.33999999999997</v>
      </c>
      <c r="G244" s="110">
        <v>0.80825450757155648</v>
      </c>
      <c r="H244" s="110">
        <v>1.6192384053408091</v>
      </c>
      <c r="I244" s="110">
        <v>12078.73</v>
      </c>
      <c r="J244" s="110">
        <v>381.36380000000003</v>
      </c>
      <c r="K244" s="110">
        <v>0.86120949590679385</v>
      </c>
      <c r="L244" s="110">
        <v>1.5335105132588971</v>
      </c>
      <c r="M244" s="110"/>
      <c r="N244" s="110"/>
      <c r="O244" s="110"/>
      <c r="P244" s="110">
        <v>79.321770000000001</v>
      </c>
      <c r="Q244" s="110"/>
      <c r="R244" s="110"/>
      <c r="S244" s="110"/>
      <c r="T244" s="110"/>
    </row>
    <row r="245" spans="1:20">
      <c r="A245" s="110" t="s">
        <v>44</v>
      </c>
      <c r="B245" s="110" t="s">
        <v>108</v>
      </c>
      <c r="C245" s="110">
        <v>11430</v>
      </c>
      <c r="D245" s="110">
        <v>27.58005</v>
      </c>
      <c r="E245" s="110">
        <v>7142</v>
      </c>
      <c r="F245" s="110">
        <v>322.33999999999997</v>
      </c>
      <c r="G245" s="110">
        <v>0.80825450757155648</v>
      </c>
      <c r="H245" s="110">
        <v>1.6192384053408091</v>
      </c>
      <c r="I245" s="110">
        <v>11557.890000000001</v>
      </c>
      <c r="J245" s="110">
        <v>379.15679999999998</v>
      </c>
      <c r="K245" s="110">
        <v>0.86027841896414214</v>
      </c>
      <c r="L245" s="110">
        <v>1.512834889516425</v>
      </c>
      <c r="M245" s="110"/>
      <c r="N245" s="110"/>
      <c r="O245" s="110"/>
      <c r="P245" s="110">
        <v>79.916740000000004</v>
      </c>
      <c r="Q245" s="110"/>
      <c r="R245" s="110"/>
      <c r="S245" s="110"/>
      <c r="T245" s="110"/>
    </row>
    <row r="246" spans="1:20">
      <c r="A246" s="110" t="s">
        <v>44</v>
      </c>
      <c r="B246" s="110" t="s">
        <v>108</v>
      </c>
      <c r="C246" s="110">
        <v>10795</v>
      </c>
      <c r="D246" s="110">
        <v>27.58005</v>
      </c>
      <c r="E246" s="110">
        <v>7142</v>
      </c>
      <c r="F246" s="110">
        <v>322.33999999999997</v>
      </c>
      <c r="G246" s="110">
        <v>0.80825450757155648</v>
      </c>
      <c r="H246" s="110">
        <v>1.6192384053408091</v>
      </c>
      <c r="I246" s="110">
        <v>18510.71</v>
      </c>
      <c r="J246" s="110">
        <v>409.20569999999998</v>
      </c>
      <c r="K246" s="110">
        <v>0.88760299621580729</v>
      </c>
      <c r="L246" s="110">
        <v>1.5380439358314018</v>
      </c>
      <c r="M246" s="110"/>
      <c r="N246" s="110"/>
      <c r="O246" s="110"/>
      <c r="P246" s="110">
        <v>39.262210000000003</v>
      </c>
      <c r="Q246" s="110"/>
      <c r="R246" s="110"/>
      <c r="S246" s="110"/>
      <c r="T246" s="110"/>
    </row>
    <row r="247" spans="1:20">
      <c r="A247" s="110" t="s">
        <v>44</v>
      </c>
      <c r="B247" s="110" t="s">
        <v>108</v>
      </c>
      <c r="C247" s="110">
        <v>10795</v>
      </c>
      <c r="D247" s="110">
        <v>27.58005</v>
      </c>
      <c r="E247" s="110">
        <v>7142</v>
      </c>
      <c r="F247" s="110">
        <v>322.33999999999997</v>
      </c>
      <c r="G247" s="110">
        <v>0.80825450757155648</v>
      </c>
      <c r="H247" s="110">
        <v>1.6192384053408091</v>
      </c>
      <c r="I247" s="110">
        <v>18436.98</v>
      </c>
      <c r="J247" s="110">
        <v>408.54199999999997</v>
      </c>
      <c r="K247" s="110">
        <v>0.88616005870129855</v>
      </c>
      <c r="L247" s="110">
        <v>1.5394020749337864</v>
      </c>
      <c r="M247" s="110"/>
      <c r="N247" s="110"/>
      <c r="O247" s="110"/>
      <c r="P247" s="110">
        <v>40.602170000000001</v>
      </c>
      <c r="Q247" s="110"/>
      <c r="R247" s="110"/>
      <c r="S247" s="110"/>
      <c r="T247" s="110"/>
    </row>
    <row r="248" spans="1:20">
      <c r="A248" s="110" t="s">
        <v>44</v>
      </c>
      <c r="B248" s="110" t="s">
        <v>108</v>
      </c>
      <c r="C248" s="110">
        <v>10795</v>
      </c>
      <c r="D248" s="110">
        <v>27.58005</v>
      </c>
      <c r="E248" s="110">
        <v>7142</v>
      </c>
      <c r="F248" s="110">
        <v>322.33999999999997</v>
      </c>
      <c r="G248" s="110">
        <v>0.80825450757155648</v>
      </c>
      <c r="H248" s="110">
        <v>1.6192384053408091</v>
      </c>
      <c r="I248" s="110">
        <v>18349.850000000002</v>
      </c>
      <c r="J248" s="110">
        <v>407.81900000000002</v>
      </c>
      <c r="K248" s="110">
        <v>0.88451829453194519</v>
      </c>
      <c r="L248" s="110">
        <v>1.5407713457466554</v>
      </c>
      <c r="M248" s="110"/>
      <c r="N248" s="110"/>
      <c r="O248" s="110"/>
      <c r="P248" s="110">
        <v>42.00864</v>
      </c>
      <c r="Q248" s="110"/>
      <c r="R248" s="110"/>
      <c r="S248" s="110"/>
      <c r="T248" s="110"/>
    </row>
    <row r="249" spans="1:20">
      <c r="A249" s="110" t="s">
        <v>44</v>
      </c>
      <c r="B249" s="110" t="s">
        <v>108</v>
      </c>
      <c r="C249" s="110">
        <v>10795</v>
      </c>
      <c r="D249" s="110">
        <v>27.58005</v>
      </c>
      <c r="E249" s="110">
        <v>7142</v>
      </c>
      <c r="F249" s="110">
        <v>322.33999999999997</v>
      </c>
      <c r="G249" s="110">
        <v>0.80825450757155648</v>
      </c>
      <c r="H249" s="110">
        <v>1.6192384053408091</v>
      </c>
      <c r="I249" s="110">
        <v>18166.149999999998</v>
      </c>
      <c r="J249" s="110">
        <v>406.41770000000002</v>
      </c>
      <c r="K249" s="110">
        <v>0.88295795381433873</v>
      </c>
      <c r="L249" s="110">
        <v>1.5475164359674436</v>
      </c>
      <c r="M249" s="110"/>
      <c r="N249" s="110"/>
      <c r="O249" s="110"/>
      <c r="P249" s="110">
        <v>44.61412</v>
      </c>
      <c r="Q249" s="110"/>
      <c r="R249" s="110"/>
      <c r="S249" s="110"/>
      <c r="T249" s="110"/>
    </row>
    <row r="250" spans="1:20">
      <c r="A250" s="110" t="s">
        <v>44</v>
      </c>
      <c r="B250" s="110" t="s">
        <v>108</v>
      </c>
      <c r="C250" s="110">
        <v>10795</v>
      </c>
      <c r="D250" s="110">
        <v>27.58005</v>
      </c>
      <c r="E250" s="110">
        <v>7142</v>
      </c>
      <c r="F250" s="110">
        <v>322.33999999999997</v>
      </c>
      <c r="G250" s="110">
        <v>0.80825450757155648</v>
      </c>
      <c r="H250" s="110">
        <v>1.6192384053408091</v>
      </c>
      <c r="I250" s="110">
        <v>17778.57</v>
      </c>
      <c r="J250" s="110">
        <v>403.87169999999998</v>
      </c>
      <c r="K250" s="110">
        <v>0.88045406111377167</v>
      </c>
      <c r="L250" s="110">
        <v>1.5524024072312237</v>
      </c>
      <c r="M250" s="110"/>
      <c r="N250" s="110"/>
      <c r="O250" s="110"/>
      <c r="P250" s="110">
        <v>48.826920000000001</v>
      </c>
      <c r="Q250" s="110"/>
      <c r="R250" s="110"/>
      <c r="S250" s="110"/>
      <c r="T250" s="110"/>
    </row>
    <row r="251" spans="1:20">
      <c r="A251" s="110" t="s">
        <v>44</v>
      </c>
      <c r="B251" s="110" t="s">
        <v>108</v>
      </c>
      <c r="C251" s="110">
        <v>10795</v>
      </c>
      <c r="D251" s="110">
        <v>27.58005</v>
      </c>
      <c r="E251" s="110">
        <v>7142</v>
      </c>
      <c r="F251" s="110">
        <v>322.33999999999997</v>
      </c>
      <c r="G251" s="110">
        <v>0.80825450757155648</v>
      </c>
      <c r="H251" s="110">
        <v>1.6192384053408091</v>
      </c>
      <c r="I251" s="110">
        <v>17607.669999999998</v>
      </c>
      <c r="J251" s="110">
        <v>402.84620000000001</v>
      </c>
      <c r="K251" s="110">
        <v>0.8791807300669825</v>
      </c>
      <c r="L251" s="110">
        <v>1.5540176785522053</v>
      </c>
      <c r="M251" s="110"/>
      <c r="N251" s="110"/>
      <c r="O251" s="110"/>
      <c r="P251" s="110">
        <v>50.567619999999998</v>
      </c>
      <c r="Q251" s="110"/>
      <c r="R251" s="110"/>
      <c r="S251" s="110"/>
      <c r="T251" s="110"/>
    </row>
    <row r="252" spans="1:20">
      <c r="A252" s="110" t="s">
        <v>44</v>
      </c>
      <c r="B252" s="110" t="s">
        <v>108</v>
      </c>
      <c r="C252" s="110">
        <v>10795</v>
      </c>
      <c r="D252" s="110">
        <v>27.58005</v>
      </c>
      <c r="E252" s="110">
        <v>7142</v>
      </c>
      <c r="F252" s="110">
        <v>322.33999999999997</v>
      </c>
      <c r="G252" s="110">
        <v>0.80825450757155648</v>
      </c>
      <c r="H252" s="110">
        <v>1.6192384053408091</v>
      </c>
      <c r="I252" s="110">
        <v>17175.899999999998</v>
      </c>
      <c r="J252" s="110">
        <v>400.47629999999998</v>
      </c>
      <c r="K252" s="110">
        <v>0.87557110427255258</v>
      </c>
      <c r="L252" s="110">
        <v>1.5571222116118337</v>
      </c>
      <c r="M252" s="110"/>
      <c r="N252" s="110"/>
      <c r="O252" s="110"/>
      <c r="P252" s="110">
        <v>54.291620000000002</v>
      </c>
      <c r="Q252" s="110"/>
      <c r="R252" s="110"/>
      <c r="S252" s="110"/>
      <c r="T252" s="110"/>
    </row>
    <row r="253" spans="1:20">
      <c r="A253" s="110" t="s">
        <v>44</v>
      </c>
      <c r="B253" s="110" t="s">
        <v>108</v>
      </c>
      <c r="C253" s="110">
        <v>10795</v>
      </c>
      <c r="D253" s="110">
        <v>27.58005</v>
      </c>
      <c r="E253" s="110">
        <v>7142</v>
      </c>
      <c r="F253" s="110">
        <v>322.33999999999997</v>
      </c>
      <c r="G253" s="110">
        <v>0.80825450757155648</v>
      </c>
      <c r="H253" s="110">
        <v>1.6192384053408091</v>
      </c>
      <c r="I253" s="110">
        <v>17163.399999999998</v>
      </c>
      <c r="J253" s="110">
        <v>400.41070000000002</v>
      </c>
      <c r="K253" s="110">
        <v>0.87545541993167209</v>
      </c>
      <c r="L253" s="110">
        <v>1.5571975352430392</v>
      </c>
      <c r="M253" s="110"/>
      <c r="N253" s="110"/>
      <c r="O253" s="110"/>
      <c r="P253" s="110">
        <v>54.388269999999999</v>
      </c>
      <c r="Q253" s="110"/>
      <c r="R253" s="110"/>
      <c r="S253" s="110"/>
      <c r="T253" s="110"/>
    </row>
    <row r="254" spans="1:20">
      <c r="A254" s="110" t="s">
        <v>44</v>
      </c>
      <c r="B254" s="110" t="s">
        <v>108</v>
      </c>
      <c r="C254" s="110">
        <v>10795</v>
      </c>
      <c r="D254" s="110">
        <v>27.58005</v>
      </c>
      <c r="E254" s="110">
        <v>7142</v>
      </c>
      <c r="F254" s="110">
        <v>322.33999999999997</v>
      </c>
      <c r="G254" s="110">
        <v>0.80825450757155648</v>
      </c>
      <c r="H254" s="110">
        <v>1.6192384053408091</v>
      </c>
      <c r="I254" s="110">
        <v>16993.57</v>
      </c>
      <c r="J254" s="110">
        <v>399.53219999999999</v>
      </c>
      <c r="K254" s="110">
        <v>0.87381500491462627</v>
      </c>
      <c r="L254" s="110">
        <v>1.5581533849785081</v>
      </c>
      <c r="M254" s="110"/>
      <c r="N254" s="110"/>
      <c r="O254" s="110"/>
      <c r="P254" s="110">
        <v>55.64528</v>
      </c>
      <c r="Q254" s="110"/>
      <c r="R254" s="110"/>
      <c r="S254" s="110"/>
      <c r="T254" s="110"/>
    </row>
    <row r="255" spans="1:20">
      <c r="A255" s="110" t="s">
        <v>44</v>
      </c>
      <c r="B255" s="110" t="s">
        <v>108</v>
      </c>
      <c r="C255" s="110">
        <v>10795</v>
      </c>
      <c r="D255" s="110">
        <v>27.58005</v>
      </c>
      <c r="E255" s="110">
        <v>7142</v>
      </c>
      <c r="F255" s="110">
        <v>322.33999999999997</v>
      </c>
      <c r="G255" s="110">
        <v>0.80825450757155648</v>
      </c>
      <c r="H255" s="110">
        <v>1.6192384053408091</v>
      </c>
      <c r="I255" s="110">
        <v>16620.650000000001</v>
      </c>
      <c r="J255" s="110">
        <v>397.70890000000003</v>
      </c>
      <c r="K255" s="110">
        <v>0.86980596535894228</v>
      </c>
      <c r="L255" s="110">
        <v>1.5597020274735374</v>
      </c>
      <c r="M255" s="110"/>
      <c r="N255" s="110"/>
      <c r="O255" s="110"/>
      <c r="P255" s="110">
        <v>58.048209999999997</v>
      </c>
      <c r="Q255" s="110"/>
      <c r="R255" s="110"/>
      <c r="S255" s="110"/>
      <c r="T255" s="110"/>
    </row>
    <row r="256" spans="1:20">
      <c r="A256" s="110" t="s">
        <v>44</v>
      </c>
      <c r="B256" s="110" t="s">
        <v>108</v>
      </c>
      <c r="C256" s="110">
        <v>10795</v>
      </c>
      <c r="D256" s="110">
        <v>27.58005</v>
      </c>
      <c r="E256" s="110">
        <v>7142</v>
      </c>
      <c r="F256" s="110">
        <v>322.33999999999997</v>
      </c>
      <c r="G256" s="110">
        <v>0.80825450757155648</v>
      </c>
      <c r="H256" s="110">
        <v>1.6192384053408091</v>
      </c>
      <c r="I256" s="110">
        <v>15959.07</v>
      </c>
      <c r="J256" s="110">
        <v>394.61610000000002</v>
      </c>
      <c r="K256" s="110">
        <v>0.86670742974533754</v>
      </c>
      <c r="L256" s="110">
        <v>1.5602693894386284</v>
      </c>
      <c r="M256" s="110"/>
      <c r="N256" s="110"/>
      <c r="O256" s="110"/>
      <c r="P256" s="110">
        <v>61.700360000000003</v>
      </c>
      <c r="Q256" s="110"/>
      <c r="R256" s="110"/>
      <c r="S256" s="110"/>
      <c r="T256" s="110"/>
    </row>
    <row r="257" spans="1:20">
      <c r="A257" s="110" t="s">
        <v>44</v>
      </c>
      <c r="B257" s="110" t="s">
        <v>108</v>
      </c>
      <c r="C257" s="110">
        <v>10795</v>
      </c>
      <c r="D257" s="110">
        <v>27.58005</v>
      </c>
      <c r="E257" s="110">
        <v>7142</v>
      </c>
      <c r="F257" s="110">
        <v>322.33999999999997</v>
      </c>
      <c r="G257" s="110">
        <v>0.80825450757155648</v>
      </c>
      <c r="H257" s="110">
        <v>1.6192384053408091</v>
      </c>
      <c r="I257" s="110">
        <v>15909.08</v>
      </c>
      <c r="J257" s="110">
        <v>394.38780000000003</v>
      </c>
      <c r="K257" s="110">
        <v>0.86658363698291552</v>
      </c>
      <c r="L257" s="110">
        <v>1.5604834794487996</v>
      </c>
      <c r="M257" s="110"/>
      <c r="N257" s="110"/>
      <c r="O257" s="110"/>
      <c r="P257" s="110">
        <v>61.95129</v>
      </c>
      <c r="Q257" s="110"/>
      <c r="R257" s="110"/>
      <c r="S257" s="110"/>
      <c r="T257" s="110"/>
    </row>
    <row r="258" spans="1:20">
      <c r="A258" s="110" t="s">
        <v>44</v>
      </c>
      <c r="B258" s="110" t="s">
        <v>108</v>
      </c>
      <c r="C258" s="110">
        <v>10795</v>
      </c>
      <c r="D258" s="110">
        <v>27.58005</v>
      </c>
      <c r="E258" s="110">
        <v>7142</v>
      </c>
      <c r="F258" s="110">
        <v>322.33999999999997</v>
      </c>
      <c r="G258" s="110">
        <v>0.80825450757155648</v>
      </c>
      <c r="H258" s="110">
        <v>1.6192384053408091</v>
      </c>
      <c r="I258" s="110">
        <v>15536.8</v>
      </c>
      <c r="J258" s="110">
        <v>392.71179999999998</v>
      </c>
      <c r="K258" s="110">
        <v>0.86512746462657353</v>
      </c>
      <c r="L258" s="110">
        <v>1.5619229451408863</v>
      </c>
      <c r="M258" s="110"/>
      <c r="N258" s="110"/>
      <c r="O258" s="110"/>
      <c r="P258" s="110">
        <v>63.707230000000003</v>
      </c>
      <c r="Q258" s="110"/>
      <c r="R258" s="110"/>
      <c r="S258" s="110"/>
      <c r="T258" s="110"/>
    </row>
    <row r="259" spans="1:20">
      <c r="A259" s="110" t="s">
        <v>44</v>
      </c>
      <c r="B259" s="110" t="s">
        <v>108</v>
      </c>
      <c r="C259" s="110">
        <v>10795</v>
      </c>
      <c r="D259" s="110">
        <v>27.58005</v>
      </c>
      <c r="E259" s="110">
        <v>7142</v>
      </c>
      <c r="F259" s="110">
        <v>322.33999999999997</v>
      </c>
      <c r="G259" s="110">
        <v>0.80825450757155648</v>
      </c>
      <c r="H259" s="110">
        <v>1.6192384053408091</v>
      </c>
      <c r="I259" s="110">
        <v>14685.050000000001</v>
      </c>
      <c r="J259" s="110">
        <v>389.06180000000001</v>
      </c>
      <c r="K259" s="110">
        <v>0.85832554896364399</v>
      </c>
      <c r="L259" s="110">
        <v>1.5639833689424947</v>
      </c>
      <c r="M259" s="110"/>
      <c r="N259" s="110"/>
      <c r="O259" s="110"/>
      <c r="P259" s="110">
        <v>66.817610000000002</v>
      </c>
      <c r="Q259" s="110"/>
      <c r="R259" s="110"/>
      <c r="S259" s="110"/>
      <c r="T259" s="110"/>
    </row>
    <row r="260" spans="1:20">
      <c r="A260" s="110" t="s">
        <v>44</v>
      </c>
      <c r="B260" s="110" t="s">
        <v>108</v>
      </c>
      <c r="C260" s="110">
        <v>10795</v>
      </c>
      <c r="D260" s="110">
        <v>27.58005</v>
      </c>
      <c r="E260" s="110">
        <v>7142</v>
      </c>
      <c r="F260" s="110">
        <v>322.33999999999997</v>
      </c>
      <c r="G260" s="110">
        <v>0.80825450757155648</v>
      </c>
      <c r="H260" s="110">
        <v>1.6192384053408091</v>
      </c>
      <c r="I260" s="110">
        <v>14317.439999999999</v>
      </c>
      <c r="J260" s="110">
        <v>387.5204</v>
      </c>
      <c r="K260" s="110">
        <v>0.85896219812367824</v>
      </c>
      <c r="L260" s="110">
        <v>1.5547055735114352</v>
      </c>
      <c r="M260" s="110"/>
      <c r="N260" s="110"/>
      <c r="O260" s="110"/>
      <c r="P260" s="110">
        <v>67.882859999999994</v>
      </c>
      <c r="Q260" s="110"/>
      <c r="R260" s="110"/>
      <c r="S260" s="110"/>
      <c r="T260" s="110"/>
    </row>
    <row r="261" spans="1:20">
      <c r="A261" s="110" t="s">
        <v>44</v>
      </c>
      <c r="B261" s="110" t="s">
        <v>108</v>
      </c>
      <c r="C261" s="110">
        <v>10795</v>
      </c>
      <c r="D261" s="110">
        <v>27.58005</v>
      </c>
      <c r="E261" s="110">
        <v>7142</v>
      </c>
      <c r="F261" s="110">
        <v>322.33999999999997</v>
      </c>
      <c r="G261" s="110">
        <v>0.80825450757155648</v>
      </c>
      <c r="H261" s="110">
        <v>1.6192384053408091</v>
      </c>
      <c r="I261" s="110">
        <v>13609.54</v>
      </c>
      <c r="J261" s="110">
        <v>384.5872</v>
      </c>
      <c r="K261" s="110">
        <v>0.85777828323680594</v>
      </c>
      <c r="L261" s="110">
        <v>1.5570016986856445</v>
      </c>
      <c r="M261" s="110"/>
      <c r="N261" s="110"/>
      <c r="O261" s="110"/>
      <c r="P261" s="110">
        <v>69.643810000000002</v>
      </c>
      <c r="Q261" s="110"/>
      <c r="R261" s="110"/>
      <c r="S261" s="110"/>
      <c r="T261" s="110"/>
    </row>
    <row r="262" spans="1:20">
      <c r="A262" s="110" t="s">
        <v>44</v>
      </c>
      <c r="B262" s="110" t="s">
        <v>108</v>
      </c>
      <c r="C262" s="110">
        <v>10795</v>
      </c>
      <c r="D262" s="110">
        <v>27.58005</v>
      </c>
      <c r="E262" s="110">
        <v>7142</v>
      </c>
      <c r="F262" s="110">
        <v>322.33999999999997</v>
      </c>
      <c r="G262" s="110">
        <v>0.80825450757155648</v>
      </c>
      <c r="H262" s="110">
        <v>1.6192384053408091</v>
      </c>
      <c r="I262" s="110">
        <v>13237.83</v>
      </c>
      <c r="J262" s="110">
        <v>383.03629999999998</v>
      </c>
      <c r="K262" s="110">
        <v>0.85513190298295505</v>
      </c>
      <c r="L262" s="110">
        <v>1.5577982076979202</v>
      </c>
      <c r="M262" s="110"/>
      <c r="N262" s="110"/>
      <c r="O262" s="110"/>
      <c r="P262" s="110">
        <v>70.475359999999995</v>
      </c>
      <c r="Q262" s="110"/>
      <c r="R262" s="110"/>
      <c r="S262" s="110"/>
      <c r="T262" s="110"/>
    </row>
    <row r="263" spans="1:20">
      <c r="A263" s="110" t="s">
        <v>44</v>
      </c>
      <c r="B263" s="110" t="s">
        <v>108</v>
      </c>
      <c r="C263" s="110">
        <v>10795</v>
      </c>
      <c r="D263" s="110">
        <v>27.58005</v>
      </c>
      <c r="E263" s="110">
        <v>7142</v>
      </c>
      <c r="F263" s="110">
        <v>322.33999999999997</v>
      </c>
      <c r="G263" s="110">
        <v>0.80825450757155648</v>
      </c>
      <c r="H263" s="110">
        <v>1.6192384053408091</v>
      </c>
      <c r="I263" s="110">
        <v>12479.99</v>
      </c>
      <c r="J263" s="110">
        <v>379.83240000000001</v>
      </c>
      <c r="K263" s="110">
        <v>0.85613590713654586</v>
      </c>
      <c r="L263" s="110">
        <v>1.545627503269257</v>
      </c>
      <c r="M263" s="110"/>
      <c r="N263" s="110"/>
      <c r="O263" s="110"/>
      <c r="P263" s="110">
        <v>71.982150000000004</v>
      </c>
      <c r="Q263" s="110"/>
      <c r="R263" s="110"/>
      <c r="S263" s="110"/>
      <c r="T263" s="110"/>
    </row>
    <row r="264" spans="1:20">
      <c r="A264" s="110" t="s">
        <v>44</v>
      </c>
      <c r="B264" s="110" t="s">
        <v>108</v>
      </c>
      <c r="C264" s="110">
        <v>10795</v>
      </c>
      <c r="D264" s="110">
        <v>27.58005</v>
      </c>
      <c r="E264" s="110">
        <v>7142</v>
      </c>
      <c r="F264" s="110">
        <v>322.33999999999997</v>
      </c>
      <c r="G264" s="110">
        <v>0.80825450757155648</v>
      </c>
      <c r="H264" s="110">
        <v>1.6192384053408091</v>
      </c>
      <c r="I264" s="110">
        <v>12047.36</v>
      </c>
      <c r="J264" s="110">
        <v>377.98869999999999</v>
      </c>
      <c r="K264" s="110">
        <v>0.85505585959545138</v>
      </c>
      <c r="L264" s="110">
        <v>1.549309546675171</v>
      </c>
      <c r="M264" s="110"/>
      <c r="N264" s="110"/>
      <c r="O264" s="110"/>
      <c r="P264" s="110">
        <v>72.673109999999994</v>
      </c>
      <c r="Q264" s="110"/>
      <c r="R264" s="110"/>
      <c r="S264" s="110"/>
      <c r="T264" s="110"/>
    </row>
    <row r="265" spans="1:20">
      <c r="A265" s="110" t="s">
        <v>44</v>
      </c>
      <c r="B265" s="110" t="s">
        <v>108</v>
      </c>
      <c r="C265" s="110">
        <v>10795</v>
      </c>
      <c r="D265" s="110">
        <v>27.58005</v>
      </c>
      <c r="E265" s="110">
        <v>7142</v>
      </c>
      <c r="F265" s="110">
        <v>322.33999999999997</v>
      </c>
      <c r="G265" s="110">
        <v>0.80825450757155648</v>
      </c>
      <c r="H265" s="110">
        <v>1.6192384053408091</v>
      </c>
      <c r="I265" s="110">
        <v>11380.6</v>
      </c>
      <c r="J265" s="110">
        <v>375.0729</v>
      </c>
      <c r="K265" s="110">
        <v>0.85551533889034737</v>
      </c>
      <c r="L265" s="110">
        <v>1.5299712044688067</v>
      </c>
      <c r="M265" s="110"/>
      <c r="N265" s="110"/>
      <c r="O265" s="110"/>
      <c r="P265" s="110">
        <v>73.639660000000006</v>
      </c>
      <c r="Q265" s="110"/>
      <c r="R265" s="110"/>
      <c r="S265" s="110"/>
      <c r="T265" s="110"/>
    </row>
    <row r="266" spans="1:20">
      <c r="A266" s="110" t="s">
        <v>44</v>
      </c>
      <c r="B266" s="110" t="s">
        <v>108</v>
      </c>
      <c r="C266" s="110">
        <v>10795</v>
      </c>
      <c r="D266" s="110">
        <v>27.58005</v>
      </c>
      <c r="E266" s="110">
        <v>7142</v>
      </c>
      <c r="F266" s="110">
        <v>322.33999999999997</v>
      </c>
      <c r="G266" s="110">
        <v>0.80825450757155648</v>
      </c>
      <c r="H266" s="110">
        <v>1.6192384053408091</v>
      </c>
      <c r="I266" s="110">
        <v>10963.65</v>
      </c>
      <c r="J266" s="110">
        <v>373.21379999999999</v>
      </c>
      <c r="K266" s="110">
        <v>0.8564748866551648</v>
      </c>
      <c r="L266" s="110">
        <v>1.5325020588604628</v>
      </c>
      <c r="M266" s="110"/>
      <c r="N266" s="110"/>
      <c r="O266" s="110"/>
      <c r="P266" s="110">
        <v>74.178439999999995</v>
      </c>
      <c r="Q266" s="110"/>
      <c r="R266" s="110"/>
      <c r="S266" s="110"/>
      <c r="T266" s="110"/>
    </row>
    <row r="267" spans="1:20">
      <c r="A267" s="110" t="s">
        <v>44</v>
      </c>
      <c r="B267" s="110" t="s">
        <v>108</v>
      </c>
      <c r="C267" s="110">
        <v>10160</v>
      </c>
      <c r="D267" s="110">
        <v>27.58005</v>
      </c>
      <c r="E267" s="110">
        <v>7142</v>
      </c>
      <c r="F267" s="110">
        <v>322.33999999999997</v>
      </c>
      <c r="G267" s="110">
        <v>0.80825450757155648</v>
      </c>
      <c r="H267" s="110">
        <v>1.6192384053408091</v>
      </c>
      <c r="I267" s="110">
        <v>16835.64</v>
      </c>
      <c r="J267" s="110">
        <v>400.79390000000001</v>
      </c>
      <c r="K267" s="110">
        <v>0.87572816038233503</v>
      </c>
      <c r="L267" s="110">
        <v>1.5501518688343714</v>
      </c>
      <c r="M267" s="110"/>
      <c r="N267" s="110"/>
      <c r="O267" s="110"/>
      <c r="P267" s="110">
        <v>35.273110000000003</v>
      </c>
      <c r="Q267" s="110"/>
      <c r="R267" s="110"/>
      <c r="S267" s="110"/>
      <c r="T267" s="110"/>
    </row>
    <row r="268" spans="1:20">
      <c r="A268" s="110" t="s">
        <v>44</v>
      </c>
      <c r="B268" s="110" t="s">
        <v>108</v>
      </c>
      <c r="C268" s="110">
        <v>10160</v>
      </c>
      <c r="D268" s="110">
        <v>27.58005</v>
      </c>
      <c r="E268" s="110">
        <v>7142</v>
      </c>
      <c r="F268" s="110">
        <v>322.33999999999997</v>
      </c>
      <c r="G268" s="110">
        <v>0.80825450757155648</v>
      </c>
      <c r="H268" s="110">
        <v>1.6192384053408091</v>
      </c>
      <c r="I268" s="110">
        <v>16818.580000000002</v>
      </c>
      <c r="J268" s="110">
        <v>400.6087</v>
      </c>
      <c r="K268" s="110">
        <v>0.87537219998975457</v>
      </c>
      <c r="L268" s="110">
        <v>1.5506496872630486</v>
      </c>
      <c r="M268" s="110"/>
      <c r="N268" s="110"/>
      <c r="O268" s="110"/>
      <c r="P268" s="110">
        <v>35.656350000000003</v>
      </c>
      <c r="Q268" s="110"/>
      <c r="R268" s="110"/>
      <c r="S268" s="110"/>
      <c r="T268" s="110"/>
    </row>
    <row r="269" spans="1:20">
      <c r="A269" s="110" t="s">
        <v>44</v>
      </c>
      <c r="B269" s="110" t="s">
        <v>108</v>
      </c>
      <c r="C269" s="110">
        <v>10160</v>
      </c>
      <c r="D269" s="110">
        <v>27.58005</v>
      </c>
      <c r="E269" s="110">
        <v>7142</v>
      </c>
      <c r="F269" s="110">
        <v>322.33999999999997</v>
      </c>
      <c r="G269" s="110">
        <v>0.80825450757155648</v>
      </c>
      <c r="H269" s="110">
        <v>1.6192384053408091</v>
      </c>
      <c r="I269" s="110">
        <v>16786.34</v>
      </c>
      <c r="J269" s="110">
        <v>400.28149999999999</v>
      </c>
      <c r="K269" s="110">
        <v>0.87473374220503186</v>
      </c>
      <c r="L269" s="110">
        <v>1.5514950498874753</v>
      </c>
      <c r="M269" s="110"/>
      <c r="N269" s="110"/>
      <c r="O269" s="110"/>
      <c r="P269" s="110">
        <v>36.312109999999997</v>
      </c>
      <c r="Q269" s="110"/>
      <c r="R269" s="110"/>
      <c r="S269" s="110"/>
      <c r="T269" s="110"/>
    </row>
    <row r="270" spans="1:20">
      <c r="A270" s="110" t="s">
        <v>44</v>
      </c>
      <c r="B270" s="110" t="s">
        <v>108</v>
      </c>
      <c r="C270" s="110">
        <v>10160</v>
      </c>
      <c r="D270" s="110">
        <v>27.58005</v>
      </c>
      <c r="E270" s="110">
        <v>7142</v>
      </c>
      <c r="F270" s="110">
        <v>322.33999999999997</v>
      </c>
      <c r="G270" s="110">
        <v>0.80825450757155648</v>
      </c>
      <c r="H270" s="110">
        <v>1.6192384053408091</v>
      </c>
      <c r="I270" s="110">
        <v>16643.109999999997</v>
      </c>
      <c r="J270" s="110">
        <v>398.97739999999999</v>
      </c>
      <c r="K270" s="110">
        <v>0.87207812687357855</v>
      </c>
      <c r="L270" s="110">
        <v>1.5546257455344514</v>
      </c>
      <c r="M270" s="110"/>
      <c r="N270" s="110"/>
      <c r="O270" s="110"/>
      <c r="P270" s="110">
        <v>38.814010000000003</v>
      </c>
      <c r="Q270" s="110"/>
      <c r="R270" s="110"/>
      <c r="S270" s="110"/>
      <c r="T270" s="110"/>
    </row>
    <row r="271" spans="1:20">
      <c r="A271" s="110" t="s">
        <v>44</v>
      </c>
      <c r="B271" s="110" t="s">
        <v>108</v>
      </c>
      <c r="C271" s="110">
        <v>10160</v>
      </c>
      <c r="D271" s="110">
        <v>27.58005</v>
      </c>
      <c r="E271" s="110">
        <v>7142</v>
      </c>
      <c r="F271" s="110">
        <v>322.33999999999997</v>
      </c>
      <c r="G271" s="110">
        <v>0.80825450757155648</v>
      </c>
      <c r="H271" s="110">
        <v>1.6192384053408091</v>
      </c>
      <c r="I271" s="110">
        <v>16370.72</v>
      </c>
      <c r="J271" s="110">
        <v>396.85129999999998</v>
      </c>
      <c r="K271" s="110">
        <v>0.86743925403834921</v>
      </c>
      <c r="L271" s="110">
        <v>1.5562508216055209</v>
      </c>
      <c r="M271" s="110"/>
      <c r="N271" s="110"/>
      <c r="O271" s="110"/>
      <c r="P271" s="110">
        <v>42.53004</v>
      </c>
      <c r="Q271" s="110"/>
      <c r="R271" s="110"/>
      <c r="S271" s="110"/>
      <c r="T271" s="110"/>
    </row>
    <row r="272" spans="1:20">
      <c r="A272" s="110" t="s">
        <v>44</v>
      </c>
      <c r="B272" s="110" t="s">
        <v>108</v>
      </c>
      <c r="C272" s="110">
        <v>10160</v>
      </c>
      <c r="D272" s="110">
        <v>27.58005</v>
      </c>
      <c r="E272" s="110">
        <v>7142</v>
      </c>
      <c r="F272" s="110">
        <v>322.33999999999997</v>
      </c>
      <c r="G272" s="110">
        <v>0.80825450757155648</v>
      </c>
      <c r="H272" s="110">
        <v>1.6192384053408091</v>
      </c>
      <c r="I272" s="110">
        <v>15945.279999999999</v>
      </c>
      <c r="J272" s="110">
        <v>394.02350000000001</v>
      </c>
      <c r="K272" s="110">
        <v>0.86569109616579099</v>
      </c>
      <c r="L272" s="110">
        <v>1.562731430362637</v>
      </c>
      <c r="M272" s="110"/>
      <c r="N272" s="110"/>
      <c r="O272" s="110"/>
      <c r="P272" s="110">
        <v>47.136589999999998</v>
      </c>
      <c r="Q272" s="110"/>
      <c r="R272" s="110"/>
      <c r="S272" s="110"/>
      <c r="T272" s="110"/>
    </row>
    <row r="273" spans="1:20">
      <c r="A273" s="110" t="s">
        <v>44</v>
      </c>
      <c r="B273" s="110" t="s">
        <v>108</v>
      </c>
      <c r="C273" s="110">
        <v>10160</v>
      </c>
      <c r="D273" s="110">
        <v>27.58005</v>
      </c>
      <c r="E273" s="110">
        <v>7142</v>
      </c>
      <c r="F273" s="110">
        <v>322.33999999999997</v>
      </c>
      <c r="G273" s="110">
        <v>0.80825450757155648</v>
      </c>
      <c r="H273" s="110">
        <v>1.6192384053408091</v>
      </c>
      <c r="I273" s="110">
        <v>15514.65</v>
      </c>
      <c r="J273" s="110">
        <v>391.52980000000002</v>
      </c>
      <c r="K273" s="110">
        <v>0.86299611642382046</v>
      </c>
      <c r="L273" s="110">
        <v>1.5670470861989381</v>
      </c>
      <c r="M273" s="110"/>
      <c r="N273" s="110"/>
      <c r="O273" s="110"/>
      <c r="P273" s="110">
        <v>50.807639999999999</v>
      </c>
      <c r="Q273" s="110"/>
      <c r="R273" s="110"/>
      <c r="S273" s="110"/>
      <c r="T273" s="110"/>
    </row>
    <row r="274" spans="1:20">
      <c r="A274" s="110" t="s">
        <v>44</v>
      </c>
      <c r="B274" s="110" t="s">
        <v>108</v>
      </c>
      <c r="C274" s="110">
        <v>10160</v>
      </c>
      <c r="D274" s="110">
        <v>27.58005</v>
      </c>
      <c r="E274" s="110">
        <v>7142</v>
      </c>
      <c r="F274" s="110">
        <v>322.33999999999997</v>
      </c>
      <c r="G274" s="110">
        <v>0.80825450757155648</v>
      </c>
      <c r="H274" s="110">
        <v>1.6192384053408091</v>
      </c>
      <c r="I274" s="110">
        <v>15060.730000000001</v>
      </c>
      <c r="J274" s="110">
        <v>389.1198</v>
      </c>
      <c r="K274" s="110">
        <v>0.85909341463555977</v>
      </c>
      <c r="L274" s="110">
        <v>1.570538552828403</v>
      </c>
      <c r="M274" s="110"/>
      <c r="N274" s="110"/>
      <c r="O274" s="110"/>
      <c r="P274" s="110">
        <v>53.952739999999999</v>
      </c>
      <c r="Q274" s="110"/>
      <c r="R274" s="110"/>
      <c r="S274" s="110"/>
      <c r="T274" s="110"/>
    </row>
    <row r="275" spans="1:20">
      <c r="A275" s="110" t="s">
        <v>44</v>
      </c>
      <c r="B275" s="110" t="s">
        <v>108</v>
      </c>
      <c r="C275" s="110">
        <v>10160</v>
      </c>
      <c r="D275" s="110">
        <v>27.58005</v>
      </c>
      <c r="E275" s="110">
        <v>7142</v>
      </c>
      <c r="F275" s="110">
        <v>322.33999999999997</v>
      </c>
      <c r="G275" s="110">
        <v>0.80825450757155648</v>
      </c>
      <c r="H275" s="110">
        <v>1.6192384053408091</v>
      </c>
      <c r="I275" s="110">
        <v>14046.31</v>
      </c>
      <c r="J275" s="110">
        <v>384.1472</v>
      </c>
      <c r="K275" s="110">
        <v>0.85491261689181397</v>
      </c>
      <c r="L275" s="110">
        <v>1.5674608085485273</v>
      </c>
      <c r="M275" s="110"/>
      <c r="N275" s="110"/>
      <c r="O275" s="110"/>
      <c r="P275" s="110">
        <v>59.291089999999997</v>
      </c>
      <c r="Q275" s="110"/>
      <c r="R275" s="110"/>
      <c r="S275" s="110"/>
      <c r="T275" s="110"/>
    </row>
    <row r="276" spans="1:20">
      <c r="A276" s="110" t="s">
        <v>44</v>
      </c>
      <c r="B276" s="110" t="s">
        <v>108</v>
      </c>
      <c r="C276" s="110">
        <v>10160</v>
      </c>
      <c r="D276" s="110">
        <v>27.58005</v>
      </c>
      <c r="E276" s="110">
        <v>7142</v>
      </c>
      <c r="F276" s="110">
        <v>322.33999999999997</v>
      </c>
      <c r="G276" s="110">
        <v>0.80825450757155648</v>
      </c>
      <c r="H276" s="110">
        <v>1.6192384053408091</v>
      </c>
      <c r="I276" s="110">
        <v>13483.84</v>
      </c>
      <c r="J276" s="110">
        <v>381.56580000000002</v>
      </c>
      <c r="K276" s="110">
        <v>0.85216961987280315</v>
      </c>
      <c r="L276" s="110">
        <v>1.5702777013120495</v>
      </c>
      <c r="M276" s="110"/>
      <c r="N276" s="110"/>
      <c r="O276" s="110"/>
      <c r="P276" s="110">
        <v>61.4465</v>
      </c>
      <c r="Q276" s="110"/>
      <c r="R276" s="110"/>
      <c r="S276" s="110"/>
      <c r="T276" s="110"/>
    </row>
    <row r="277" spans="1:20">
      <c r="A277" s="110" t="s">
        <v>44</v>
      </c>
      <c r="B277" s="110" t="s">
        <v>108</v>
      </c>
      <c r="C277" s="110">
        <v>10160</v>
      </c>
      <c r="D277" s="110">
        <v>27.58005</v>
      </c>
      <c r="E277" s="110">
        <v>7142</v>
      </c>
      <c r="F277" s="110">
        <v>322.33999999999997</v>
      </c>
      <c r="G277" s="110">
        <v>0.80825450757155648</v>
      </c>
      <c r="H277" s="110">
        <v>1.6192384053408091</v>
      </c>
      <c r="I277" s="110">
        <v>13459.62</v>
      </c>
      <c r="J277" s="110">
        <v>381.45549999999997</v>
      </c>
      <c r="K277" s="110">
        <v>0.85198839230910894</v>
      </c>
      <c r="L277" s="110">
        <v>1.5703931071601314</v>
      </c>
      <c r="M277" s="110"/>
      <c r="N277" s="110"/>
      <c r="O277" s="110"/>
      <c r="P277" s="110">
        <v>61.530819999999999</v>
      </c>
      <c r="Q277" s="110"/>
      <c r="R277" s="110"/>
      <c r="S277" s="110"/>
      <c r="T277" s="110"/>
    </row>
    <row r="278" spans="1:20">
      <c r="A278" s="110" t="s">
        <v>44</v>
      </c>
      <c r="B278" s="110" t="s">
        <v>108</v>
      </c>
      <c r="C278" s="110">
        <v>10160</v>
      </c>
      <c r="D278" s="110">
        <v>27.58005</v>
      </c>
      <c r="E278" s="110">
        <v>7142</v>
      </c>
      <c r="F278" s="110">
        <v>322.33999999999997</v>
      </c>
      <c r="G278" s="110">
        <v>0.80825450757155648</v>
      </c>
      <c r="H278" s="110">
        <v>1.6192384053408091</v>
      </c>
      <c r="I278" s="110">
        <v>13210.35</v>
      </c>
      <c r="J278" s="110">
        <v>380.32499999999999</v>
      </c>
      <c r="K278" s="110">
        <v>0.84982291459604931</v>
      </c>
      <c r="L278" s="110">
        <v>1.5715458832765477</v>
      </c>
      <c r="M278" s="110"/>
      <c r="N278" s="110"/>
      <c r="O278" s="110"/>
      <c r="P278" s="110">
        <v>62.369030000000002</v>
      </c>
      <c r="Q278" s="110"/>
      <c r="R278" s="110"/>
      <c r="S278" s="110"/>
      <c r="T278" s="110"/>
    </row>
    <row r="279" spans="1:20">
      <c r="A279" s="110" t="s">
        <v>44</v>
      </c>
      <c r="B279" s="110" t="s">
        <v>108</v>
      </c>
      <c r="C279" s="110">
        <v>10160</v>
      </c>
      <c r="D279" s="110">
        <v>27.58005</v>
      </c>
      <c r="E279" s="110">
        <v>7142</v>
      </c>
      <c r="F279" s="110">
        <v>322.33999999999997</v>
      </c>
      <c r="G279" s="110">
        <v>0.80825450757155648</v>
      </c>
      <c r="H279" s="110">
        <v>1.6192384053408091</v>
      </c>
      <c r="I279" s="110">
        <v>12603.76</v>
      </c>
      <c r="J279" s="110">
        <v>377.5797</v>
      </c>
      <c r="K279" s="110">
        <v>0.85072170727217955</v>
      </c>
      <c r="L279" s="110">
        <v>1.5567241076751017</v>
      </c>
      <c r="M279" s="110"/>
      <c r="N279" s="110"/>
      <c r="O279" s="110"/>
      <c r="P279" s="110">
        <v>64.126620000000003</v>
      </c>
      <c r="Q279" s="110"/>
      <c r="R279" s="110"/>
      <c r="S279" s="110"/>
      <c r="T279" s="110"/>
    </row>
    <row r="280" spans="1:20">
      <c r="A280" s="110" t="s">
        <v>44</v>
      </c>
      <c r="B280" s="110" t="s">
        <v>108</v>
      </c>
      <c r="C280" s="110">
        <v>10160</v>
      </c>
      <c r="D280" s="110">
        <v>27.58005</v>
      </c>
      <c r="E280" s="110">
        <v>7142</v>
      </c>
      <c r="F280" s="110">
        <v>322.33999999999997</v>
      </c>
      <c r="G280" s="110">
        <v>0.80825450757155648</v>
      </c>
      <c r="H280" s="110">
        <v>1.6192384053408091</v>
      </c>
      <c r="I280" s="110">
        <v>12302.039999999999</v>
      </c>
      <c r="J280" s="110">
        <v>376.20679999999999</v>
      </c>
      <c r="K280" s="110">
        <v>0.85051482631384678</v>
      </c>
      <c r="L280" s="110">
        <v>1.5584564560444092</v>
      </c>
      <c r="M280" s="110"/>
      <c r="N280" s="110"/>
      <c r="O280" s="110"/>
      <c r="P280" s="110">
        <v>64.885140000000007</v>
      </c>
      <c r="Q280" s="110"/>
      <c r="R280" s="110"/>
      <c r="S280" s="110"/>
      <c r="T280" s="110"/>
    </row>
    <row r="281" spans="1:20">
      <c r="A281" s="110" t="s">
        <v>44</v>
      </c>
      <c r="B281" s="110" t="s">
        <v>108</v>
      </c>
      <c r="C281" s="110">
        <v>10160</v>
      </c>
      <c r="D281" s="110">
        <v>27.58005</v>
      </c>
      <c r="E281" s="110">
        <v>7142</v>
      </c>
      <c r="F281" s="110">
        <v>322.33999999999997</v>
      </c>
      <c r="G281" s="110">
        <v>0.80825450757155648</v>
      </c>
      <c r="H281" s="110">
        <v>1.6192384053408091</v>
      </c>
      <c r="I281" s="110">
        <v>11660.550000000001</v>
      </c>
      <c r="J281" s="110">
        <v>373.29390000000001</v>
      </c>
      <c r="K281" s="110">
        <v>0.84772135471684673</v>
      </c>
      <c r="L281" s="110">
        <v>1.5431149133960118</v>
      </c>
      <c r="M281" s="110"/>
      <c r="N281" s="110"/>
      <c r="O281" s="110"/>
      <c r="P281" s="110">
        <v>66.247649999999993</v>
      </c>
      <c r="Q281" s="110"/>
      <c r="R281" s="110"/>
      <c r="S281" s="110"/>
      <c r="T281" s="110"/>
    </row>
    <row r="282" spans="1:20">
      <c r="A282" s="110" t="s">
        <v>44</v>
      </c>
      <c r="B282" s="110" t="s">
        <v>108</v>
      </c>
      <c r="C282" s="110">
        <v>10160</v>
      </c>
      <c r="D282" s="110">
        <v>27.58005</v>
      </c>
      <c r="E282" s="110">
        <v>7142</v>
      </c>
      <c r="F282" s="110">
        <v>322.33999999999997</v>
      </c>
      <c r="G282" s="110">
        <v>0.80825450757155648</v>
      </c>
      <c r="H282" s="110">
        <v>1.6192384053408091</v>
      </c>
      <c r="I282" s="110">
        <v>11348.29</v>
      </c>
      <c r="J282" s="110">
        <v>371.87099999999998</v>
      </c>
      <c r="K282" s="110">
        <v>0.84981175105500417</v>
      </c>
      <c r="L282" s="110">
        <v>1.5453999627321284</v>
      </c>
      <c r="M282" s="110"/>
      <c r="N282" s="110"/>
      <c r="O282" s="110"/>
      <c r="P282" s="110">
        <v>66.822779999999995</v>
      </c>
      <c r="Q282" s="110"/>
      <c r="R282" s="110"/>
      <c r="S282" s="110"/>
      <c r="T282" s="110"/>
    </row>
    <row r="283" spans="1:20">
      <c r="A283" s="110" t="s">
        <v>44</v>
      </c>
      <c r="B283" s="110" t="s">
        <v>108</v>
      </c>
      <c r="C283" s="110">
        <v>10160</v>
      </c>
      <c r="D283" s="110">
        <v>27.58005</v>
      </c>
      <c r="E283" s="110">
        <v>7142</v>
      </c>
      <c r="F283" s="110">
        <v>322.33999999999997</v>
      </c>
      <c r="G283" s="110">
        <v>0.80825450757155648</v>
      </c>
      <c r="H283" s="110">
        <v>1.6192384053408091</v>
      </c>
      <c r="I283" s="110">
        <v>10760.58</v>
      </c>
      <c r="J283" s="110">
        <v>369.1497</v>
      </c>
      <c r="K283" s="110">
        <v>0.84982572259681588</v>
      </c>
      <c r="L283" s="110">
        <v>1.5501533076192859</v>
      </c>
      <c r="M283" s="110"/>
      <c r="N283" s="110"/>
      <c r="O283" s="110"/>
      <c r="P283" s="110">
        <v>67.837230000000005</v>
      </c>
      <c r="Q283" s="110"/>
      <c r="R283" s="110"/>
      <c r="S283" s="110"/>
      <c r="T283" s="110"/>
    </row>
    <row r="284" spans="1:20">
      <c r="A284" s="110" t="s">
        <v>44</v>
      </c>
      <c r="B284" s="110" t="s">
        <v>108</v>
      </c>
      <c r="C284" s="110">
        <v>10160</v>
      </c>
      <c r="D284" s="110">
        <v>27.58005</v>
      </c>
      <c r="E284" s="110">
        <v>7142</v>
      </c>
      <c r="F284" s="110">
        <v>322.33999999999997</v>
      </c>
      <c r="G284" s="110">
        <v>0.80825450757155648</v>
      </c>
      <c r="H284" s="110">
        <v>1.6192384053408091</v>
      </c>
      <c r="I284" s="110">
        <v>10581.570000000002</v>
      </c>
      <c r="J284" s="110">
        <v>368.29969999999997</v>
      </c>
      <c r="K284" s="110">
        <v>0.84879785238674543</v>
      </c>
      <c r="L284" s="110">
        <v>1.5517923647097567</v>
      </c>
      <c r="M284" s="110"/>
      <c r="N284" s="110"/>
      <c r="O284" s="110"/>
      <c r="P284" s="110">
        <v>68.119860000000003</v>
      </c>
      <c r="Q284" s="110"/>
      <c r="R284" s="110"/>
      <c r="S284" s="110"/>
      <c r="T284" s="110"/>
    </row>
    <row r="285" spans="1:20">
      <c r="A285" s="110" t="s">
        <v>44</v>
      </c>
      <c r="B285" s="110" t="s">
        <v>108</v>
      </c>
      <c r="C285" s="110">
        <v>9525</v>
      </c>
      <c r="D285" s="110">
        <v>27.58005</v>
      </c>
      <c r="E285" s="110">
        <v>7142</v>
      </c>
      <c r="F285" s="110">
        <v>322.33999999999997</v>
      </c>
      <c r="G285" s="110">
        <v>0.80825450757155648</v>
      </c>
      <c r="H285" s="110">
        <v>1.6192384053408091</v>
      </c>
      <c r="I285" s="110">
        <v>15289.320000000002</v>
      </c>
      <c r="J285" s="110">
        <v>392.0752</v>
      </c>
      <c r="K285" s="110">
        <v>0.86448060944307503</v>
      </c>
      <c r="L285" s="110">
        <v>1.5605977813399641</v>
      </c>
      <c r="M285" s="110"/>
      <c r="N285" s="110"/>
      <c r="O285" s="110"/>
      <c r="P285" s="110">
        <v>32.729810000000001</v>
      </c>
      <c r="Q285" s="110"/>
      <c r="R285" s="110"/>
      <c r="S285" s="110"/>
      <c r="T285" s="110"/>
    </row>
    <row r="286" spans="1:20">
      <c r="A286" s="110" t="s">
        <v>44</v>
      </c>
      <c r="B286" s="110" t="s">
        <v>108</v>
      </c>
      <c r="C286" s="110">
        <v>9525</v>
      </c>
      <c r="D286" s="110">
        <v>27.58005</v>
      </c>
      <c r="E286" s="110">
        <v>7142</v>
      </c>
      <c r="F286" s="110">
        <v>322.33999999999997</v>
      </c>
      <c r="G286" s="110">
        <v>0.80825450757155648</v>
      </c>
      <c r="H286" s="110">
        <v>1.6192384053408091</v>
      </c>
      <c r="I286" s="110">
        <v>15267.99</v>
      </c>
      <c r="J286" s="110">
        <v>391.84359999999998</v>
      </c>
      <c r="K286" s="110">
        <v>0.86407695086286351</v>
      </c>
      <c r="L286" s="110">
        <v>1.5613059887853289</v>
      </c>
      <c r="M286" s="110"/>
      <c r="N286" s="110"/>
      <c r="O286" s="110"/>
      <c r="P286" s="110">
        <v>33.178179999999998</v>
      </c>
      <c r="Q286" s="110"/>
      <c r="R286" s="110"/>
      <c r="S286" s="110"/>
      <c r="T286" s="110"/>
    </row>
    <row r="287" spans="1:20">
      <c r="A287" s="110" t="s">
        <v>44</v>
      </c>
      <c r="B287" s="110" t="s">
        <v>108</v>
      </c>
      <c r="C287" s="110">
        <v>9525</v>
      </c>
      <c r="D287" s="110">
        <v>27.58005</v>
      </c>
      <c r="E287" s="110">
        <v>7142</v>
      </c>
      <c r="F287" s="110">
        <v>322.33999999999997</v>
      </c>
      <c r="G287" s="110">
        <v>0.80825450757155648</v>
      </c>
      <c r="H287" s="110">
        <v>1.6192384053408091</v>
      </c>
      <c r="I287" s="110">
        <v>15249.13</v>
      </c>
      <c r="J287" s="110">
        <v>391.64479999999998</v>
      </c>
      <c r="K287" s="110">
        <v>0.86372822777388836</v>
      </c>
      <c r="L287" s="110">
        <v>1.5619056137939678</v>
      </c>
      <c r="M287" s="110"/>
      <c r="N287" s="110"/>
      <c r="O287" s="110"/>
      <c r="P287" s="110">
        <v>33.559040000000003</v>
      </c>
      <c r="Q287" s="110"/>
      <c r="R287" s="110"/>
      <c r="S287" s="110"/>
      <c r="T287" s="110"/>
    </row>
    <row r="288" spans="1:20">
      <c r="A288" s="110" t="s">
        <v>44</v>
      </c>
      <c r="B288" s="110" t="s">
        <v>108</v>
      </c>
      <c r="C288" s="110">
        <v>9525</v>
      </c>
      <c r="D288" s="110">
        <v>27.58005</v>
      </c>
      <c r="E288" s="110">
        <v>7142</v>
      </c>
      <c r="F288" s="110">
        <v>322.33999999999997</v>
      </c>
      <c r="G288" s="110">
        <v>0.80825450757155648</v>
      </c>
      <c r="H288" s="110">
        <v>1.6192384053408091</v>
      </c>
      <c r="I288" s="110">
        <v>15135.759999999998</v>
      </c>
      <c r="J288" s="110">
        <v>390.54849999999999</v>
      </c>
      <c r="K288" s="110">
        <v>0.86175866308821958</v>
      </c>
      <c r="L288" s="110">
        <v>1.565068014246791</v>
      </c>
      <c r="M288" s="110"/>
      <c r="N288" s="110"/>
      <c r="O288" s="110"/>
      <c r="P288" s="110">
        <v>35.575159999999997</v>
      </c>
      <c r="Q288" s="110"/>
      <c r="R288" s="110"/>
      <c r="S288" s="110"/>
      <c r="T288" s="110"/>
    </row>
    <row r="289" spans="1:20">
      <c r="A289" s="110" t="s">
        <v>44</v>
      </c>
      <c r="B289" s="110" t="s">
        <v>108</v>
      </c>
      <c r="C289" s="110">
        <v>9525</v>
      </c>
      <c r="D289" s="110">
        <v>27.58005</v>
      </c>
      <c r="E289" s="110">
        <v>7142</v>
      </c>
      <c r="F289" s="110">
        <v>322.33999999999997</v>
      </c>
      <c r="G289" s="110">
        <v>0.80825450757155648</v>
      </c>
      <c r="H289" s="110">
        <v>1.6192384053408091</v>
      </c>
      <c r="I289" s="110">
        <v>14928.6</v>
      </c>
      <c r="J289" s="110">
        <v>388.79340000000002</v>
      </c>
      <c r="K289" s="110">
        <v>0.85837511095445995</v>
      </c>
      <c r="L289" s="110">
        <v>1.5697325162021591</v>
      </c>
      <c r="M289" s="110"/>
      <c r="N289" s="110"/>
      <c r="O289" s="110"/>
      <c r="P289" s="110">
        <v>38.594610000000003</v>
      </c>
      <c r="Q289" s="110"/>
      <c r="R289" s="110"/>
      <c r="S289" s="110"/>
      <c r="T289" s="110"/>
    </row>
    <row r="290" spans="1:20">
      <c r="A290" s="110" t="s">
        <v>44</v>
      </c>
      <c r="B290" s="110" t="s">
        <v>108</v>
      </c>
      <c r="C290" s="110">
        <v>9525</v>
      </c>
      <c r="D290" s="110">
        <v>27.58005</v>
      </c>
      <c r="E290" s="110">
        <v>7142</v>
      </c>
      <c r="F290" s="110">
        <v>322.33999999999997</v>
      </c>
      <c r="G290" s="110">
        <v>0.80825450757155648</v>
      </c>
      <c r="H290" s="110">
        <v>1.6192384053408091</v>
      </c>
      <c r="I290" s="110">
        <v>14614.82</v>
      </c>
      <c r="J290" s="110">
        <v>386.48399999999998</v>
      </c>
      <c r="K290" s="110">
        <v>0.85387320055375715</v>
      </c>
      <c r="L290" s="110">
        <v>1.5652248402467923</v>
      </c>
      <c r="M290" s="110"/>
      <c r="N290" s="110"/>
      <c r="O290" s="110"/>
      <c r="P290" s="110">
        <v>42.355159999999998</v>
      </c>
      <c r="Q290" s="110"/>
      <c r="R290" s="110"/>
      <c r="S290" s="110"/>
      <c r="T290" s="110"/>
    </row>
    <row r="291" spans="1:20">
      <c r="A291" s="110" t="s">
        <v>44</v>
      </c>
      <c r="B291" s="110" t="s">
        <v>108</v>
      </c>
      <c r="C291" s="110">
        <v>9525</v>
      </c>
      <c r="D291" s="110">
        <v>27.58005</v>
      </c>
      <c r="E291" s="110">
        <v>7142</v>
      </c>
      <c r="F291" s="110">
        <v>322.33999999999997</v>
      </c>
      <c r="G291" s="110">
        <v>0.80825450757155648</v>
      </c>
      <c r="H291" s="110">
        <v>1.6192384053408091</v>
      </c>
      <c r="I291" s="110">
        <v>14301.589999999998</v>
      </c>
      <c r="J291" s="110">
        <v>384.46469999999999</v>
      </c>
      <c r="K291" s="110">
        <v>0.85345851487628566</v>
      </c>
      <c r="L291" s="110">
        <v>1.5703441999639123</v>
      </c>
      <c r="M291" s="110"/>
      <c r="N291" s="110"/>
      <c r="O291" s="110"/>
      <c r="P291" s="110">
        <v>45.358510000000003</v>
      </c>
      <c r="Q291" s="110"/>
      <c r="R291" s="110"/>
      <c r="S291" s="110"/>
      <c r="T291" s="110"/>
    </row>
    <row r="292" spans="1:20">
      <c r="A292" s="110" t="s">
        <v>44</v>
      </c>
      <c r="B292" s="110" t="s">
        <v>108</v>
      </c>
      <c r="C292" s="110">
        <v>9525</v>
      </c>
      <c r="D292" s="110">
        <v>27.58005</v>
      </c>
      <c r="E292" s="110">
        <v>7142</v>
      </c>
      <c r="F292" s="110">
        <v>322.33999999999997</v>
      </c>
      <c r="G292" s="110">
        <v>0.80825450757155648</v>
      </c>
      <c r="H292" s="110">
        <v>1.6192384053408091</v>
      </c>
      <c r="I292" s="110">
        <v>13985.18</v>
      </c>
      <c r="J292" s="110">
        <v>382.5806</v>
      </c>
      <c r="K292" s="110">
        <v>0.85219163577180856</v>
      </c>
      <c r="L292" s="110">
        <v>1.5743217377948926</v>
      </c>
      <c r="M292" s="110"/>
      <c r="N292" s="110"/>
      <c r="O292" s="110"/>
      <c r="P292" s="110">
        <v>47.934100000000001</v>
      </c>
      <c r="Q292" s="110"/>
      <c r="R292" s="110"/>
      <c r="S292" s="110"/>
      <c r="T292" s="110"/>
    </row>
    <row r="293" spans="1:20">
      <c r="A293" s="110" t="s">
        <v>44</v>
      </c>
      <c r="B293" s="110" t="s">
        <v>108</v>
      </c>
      <c r="C293" s="110">
        <v>9525</v>
      </c>
      <c r="D293" s="110">
        <v>27.58005</v>
      </c>
      <c r="E293" s="110">
        <v>7142</v>
      </c>
      <c r="F293" s="110">
        <v>322.33999999999997</v>
      </c>
      <c r="G293" s="110">
        <v>0.80825450757155648</v>
      </c>
      <c r="H293" s="110">
        <v>1.6192384053408091</v>
      </c>
      <c r="I293" s="110">
        <v>13304.98</v>
      </c>
      <c r="J293" s="110">
        <v>378.8657</v>
      </c>
      <c r="K293" s="110">
        <v>0.84698178095008159</v>
      </c>
      <c r="L293" s="110">
        <v>1.5811814791030316</v>
      </c>
      <c r="M293" s="110"/>
      <c r="N293" s="110"/>
      <c r="O293" s="110"/>
      <c r="P293" s="110">
        <v>52.308990000000001</v>
      </c>
      <c r="Q293" s="110"/>
      <c r="R293" s="110"/>
      <c r="S293" s="110"/>
      <c r="T293" s="110"/>
    </row>
    <row r="294" spans="1:20">
      <c r="A294" s="110" t="s">
        <v>44</v>
      </c>
      <c r="B294" s="110" t="s">
        <v>108</v>
      </c>
      <c r="C294" s="110">
        <v>9525</v>
      </c>
      <c r="D294" s="110">
        <v>27.58005</v>
      </c>
      <c r="E294" s="110">
        <v>7142</v>
      </c>
      <c r="F294" s="110">
        <v>322.33999999999997</v>
      </c>
      <c r="G294" s="110">
        <v>0.80825450757155648</v>
      </c>
      <c r="H294" s="110">
        <v>1.6192384053408091</v>
      </c>
      <c r="I294" s="110">
        <v>12498.529999999999</v>
      </c>
      <c r="J294" s="110">
        <v>374.74590000000001</v>
      </c>
      <c r="K294" s="110">
        <v>0.84621083360127192</v>
      </c>
      <c r="L294" s="110">
        <v>1.5708681546226979</v>
      </c>
      <c r="M294" s="110"/>
      <c r="N294" s="110"/>
      <c r="O294" s="110"/>
      <c r="P294" s="110">
        <v>56.030560000000001</v>
      </c>
      <c r="Q294" s="110"/>
      <c r="R294" s="110"/>
      <c r="S294" s="110"/>
      <c r="T294" s="110"/>
    </row>
    <row r="295" spans="1:20">
      <c r="A295" s="110" t="s">
        <v>44</v>
      </c>
      <c r="B295" s="110" t="s">
        <v>108</v>
      </c>
      <c r="C295" s="110">
        <v>9525</v>
      </c>
      <c r="D295" s="110">
        <v>27.58005</v>
      </c>
      <c r="E295" s="110">
        <v>7142</v>
      </c>
      <c r="F295" s="110">
        <v>322.33999999999997</v>
      </c>
      <c r="G295" s="110">
        <v>0.80825450757155648</v>
      </c>
      <c r="H295" s="110">
        <v>1.6192384053408091</v>
      </c>
      <c r="I295" s="110">
        <v>11450.99</v>
      </c>
      <c r="J295" s="110">
        <v>369.67520000000002</v>
      </c>
      <c r="K295" s="110">
        <v>0.84388425739937223</v>
      </c>
      <c r="L295" s="110">
        <v>1.5531037359266069</v>
      </c>
      <c r="M295" s="110"/>
      <c r="N295" s="110"/>
      <c r="O295" s="110"/>
      <c r="P295" s="110">
        <v>59.325679999999998</v>
      </c>
      <c r="Q295" s="110"/>
      <c r="R295" s="110"/>
      <c r="S295" s="110"/>
      <c r="T295" s="110"/>
    </row>
    <row r="296" spans="1:20">
      <c r="A296" s="110" t="s">
        <v>44</v>
      </c>
      <c r="B296" s="110" t="s">
        <v>108</v>
      </c>
      <c r="C296" s="110">
        <v>9525</v>
      </c>
      <c r="D296" s="110">
        <v>27.58005</v>
      </c>
      <c r="E296" s="110">
        <v>7142</v>
      </c>
      <c r="F296" s="110">
        <v>322.33999999999997</v>
      </c>
      <c r="G296" s="110">
        <v>0.80825450757155648</v>
      </c>
      <c r="H296" s="110">
        <v>1.6192384053408091</v>
      </c>
      <c r="I296" s="110">
        <v>10915.29</v>
      </c>
      <c r="J296" s="110">
        <v>367.09449999999998</v>
      </c>
      <c r="K296" s="110">
        <v>0.8448301932766078</v>
      </c>
      <c r="L296" s="110">
        <v>1.5602392696160066</v>
      </c>
      <c r="M296" s="110"/>
      <c r="N296" s="110"/>
      <c r="O296" s="110"/>
      <c r="P296" s="110">
        <v>60.628430000000002</v>
      </c>
      <c r="Q296" s="110"/>
      <c r="R296" s="110"/>
      <c r="S296" s="110"/>
      <c r="T296" s="110"/>
    </row>
    <row r="297" spans="1:20">
      <c r="A297" s="110" t="s">
        <v>44</v>
      </c>
      <c r="B297" s="110" t="s">
        <v>108</v>
      </c>
      <c r="C297" s="110">
        <v>9525</v>
      </c>
      <c r="D297" s="110">
        <v>27.58005</v>
      </c>
      <c r="E297" s="110">
        <v>7142</v>
      </c>
      <c r="F297" s="110">
        <v>322.33999999999997</v>
      </c>
      <c r="G297" s="110">
        <v>0.80825450757155648</v>
      </c>
      <c r="H297" s="110">
        <v>1.6192384053408091</v>
      </c>
      <c r="I297" s="110">
        <v>10797.41</v>
      </c>
      <c r="J297" s="110">
        <v>366.51920000000001</v>
      </c>
      <c r="K297" s="110">
        <v>0.84446897285871214</v>
      </c>
      <c r="L297" s="110">
        <v>1.5624997363310458</v>
      </c>
      <c r="M297" s="110"/>
      <c r="N297" s="110"/>
      <c r="O297" s="110"/>
      <c r="P297" s="110">
        <v>60.892829999999996</v>
      </c>
      <c r="Q297" s="110"/>
      <c r="R297" s="110"/>
      <c r="S297" s="110"/>
      <c r="T297" s="110"/>
    </row>
    <row r="298" spans="1:20">
      <c r="A298" s="110" t="s">
        <v>44</v>
      </c>
      <c r="B298" s="110" t="s">
        <v>108</v>
      </c>
      <c r="C298" s="110">
        <v>9525</v>
      </c>
      <c r="D298" s="110">
        <v>27.58005</v>
      </c>
      <c r="E298" s="110">
        <v>7142</v>
      </c>
      <c r="F298" s="110">
        <v>322.33999999999997</v>
      </c>
      <c r="G298" s="110">
        <v>0.80825450757155648</v>
      </c>
      <c r="H298" s="110">
        <v>1.6192384053408091</v>
      </c>
      <c r="I298" s="110">
        <v>10270.290000000001</v>
      </c>
      <c r="J298" s="110">
        <v>363.92869999999999</v>
      </c>
      <c r="K298" s="110">
        <v>0.84494972986410566</v>
      </c>
      <c r="L298" s="110">
        <v>1.5407084691720812</v>
      </c>
      <c r="M298" s="110"/>
      <c r="N298" s="110"/>
      <c r="O298" s="110"/>
      <c r="P298" s="110">
        <v>61.978000000000002</v>
      </c>
      <c r="Q298" s="110"/>
      <c r="R298" s="110"/>
      <c r="S298" s="110"/>
      <c r="T298" s="110"/>
    </row>
    <row r="299" spans="1:20">
      <c r="A299" s="110" t="s">
        <v>44</v>
      </c>
      <c r="B299" s="110" t="s">
        <v>108</v>
      </c>
      <c r="C299" s="110">
        <v>9525</v>
      </c>
      <c r="D299" s="110">
        <v>27.58005</v>
      </c>
      <c r="E299" s="110">
        <v>7142</v>
      </c>
      <c r="F299" s="110">
        <v>322.33999999999997</v>
      </c>
      <c r="G299" s="110">
        <v>0.80825450757155648</v>
      </c>
      <c r="H299" s="110">
        <v>1.6192384053408091</v>
      </c>
      <c r="I299" s="110">
        <v>10229.460000000001</v>
      </c>
      <c r="J299" s="110">
        <v>363.72719999999998</v>
      </c>
      <c r="K299" s="110">
        <v>0.84532300222903756</v>
      </c>
      <c r="L299" s="110">
        <v>1.541098577511177</v>
      </c>
      <c r="M299" s="110"/>
      <c r="N299" s="110"/>
      <c r="O299" s="110"/>
      <c r="P299" s="110">
        <v>62.056660000000001</v>
      </c>
      <c r="Q299" s="110"/>
      <c r="R299" s="110"/>
      <c r="S299" s="110"/>
      <c r="T299" s="110"/>
    </row>
    <row r="300" spans="1:20">
      <c r="A300" s="110" t="s">
        <v>44</v>
      </c>
      <c r="B300" s="110" t="s">
        <v>108</v>
      </c>
      <c r="C300" s="110">
        <v>9525</v>
      </c>
      <c r="D300" s="110">
        <v>27.58005</v>
      </c>
      <c r="E300" s="110">
        <v>7142</v>
      </c>
      <c r="F300" s="110">
        <v>322.33999999999997</v>
      </c>
      <c r="G300" s="110">
        <v>0.80825450757155648</v>
      </c>
      <c r="H300" s="110">
        <v>1.6192384053408091</v>
      </c>
      <c r="I300" s="110">
        <v>10191.59</v>
      </c>
      <c r="J300" s="110">
        <v>363.54</v>
      </c>
      <c r="K300" s="110">
        <v>0.84564135216643421</v>
      </c>
      <c r="L300" s="110">
        <v>1.541462601436312</v>
      </c>
      <c r="M300" s="110"/>
      <c r="N300" s="110"/>
      <c r="O300" s="110"/>
      <c r="P300" s="110">
        <v>62.129150000000003</v>
      </c>
      <c r="Q300" s="110"/>
      <c r="R300" s="110"/>
      <c r="S300" s="110"/>
      <c r="T300" s="110"/>
    </row>
    <row r="301" spans="1:20">
      <c r="A301" s="110" t="s">
        <v>44</v>
      </c>
      <c r="B301" s="110" t="s">
        <v>108</v>
      </c>
      <c r="C301" s="110">
        <v>8890</v>
      </c>
      <c r="D301" s="110">
        <v>27.58005</v>
      </c>
      <c r="E301" s="110">
        <v>7142</v>
      </c>
      <c r="F301" s="110">
        <v>322.33999999999997</v>
      </c>
      <c r="G301" s="110">
        <v>0.80825450757155648</v>
      </c>
      <c r="H301" s="110">
        <v>1.6192384053408091</v>
      </c>
      <c r="I301" s="110">
        <v>13929.810000000001</v>
      </c>
      <c r="J301" s="110">
        <v>383.81310000000002</v>
      </c>
      <c r="K301" s="110">
        <v>0.8549798938463895</v>
      </c>
      <c r="L301" s="110">
        <v>1.5670303356427482</v>
      </c>
      <c r="M301" s="110"/>
      <c r="N301" s="110"/>
      <c r="O301" s="110"/>
      <c r="P301" s="110">
        <v>30.147500000000001</v>
      </c>
      <c r="Q301" s="110"/>
      <c r="R301" s="110"/>
      <c r="S301" s="110"/>
      <c r="T301" s="110"/>
    </row>
    <row r="302" spans="1:20">
      <c r="A302" s="110" t="s">
        <v>44</v>
      </c>
      <c r="B302" s="110" t="s">
        <v>108</v>
      </c>
      <c r="C302" s="110">
        <v>8890</v>
      </c>
      <c r="D302" s="110">
        <v>27.58005</v>
      </c>
      <c r="E302" s="110">
        <v>7142</v>
      </c>
      <c r="F302" s="110">
        <v>322.33999999999997</v>
      </c>
      <c r="G302" s="110">
        <v>0.80825450757155648</v>
      </c>
      <c r="H302" s="110">
        <v>1.6192384053408091</v>
      </c>
      <c r="I302" s="110">
        <v>13913.390000000001</v>
      </c>
      <c r="J302" s="110">
        <v>383.62670000000003</v>
      </c>
      <c r="K302" s="110">
        <v>0.85470303064890263</v>
      </c>
      <c r="L302" s="110">
        <v>1.5676758397557531</v>
      </c>
      <c r="M302" s="110"/>
      <c r="N302" s="110"/>
      <c r="O302" s="110"/>
      <c r="P302" s="110">
        <v>30.493729999999999</v>
      </c>
      <c r="Q302" s="110"/>
      <c r="R302" s="110"/>
      <c r="S302" s="110"/>
      <c r="T302" s="110"/>
    </row>
    <row r="303" spans="1:20">
      <c r="A303" s="110" t="s">
        <v>44</v>
      </c>
      <c r="B303" s="110" t="s">
        <v>108</v>
      </c>
      <c r="C303" s="110">
        <v>8890</v>
      </c>
      <c r="D303" s="110">
        <v>27.58005</v>
      </c>
      <c r="E303" s="110">
        <v>7142</v>
      </c>
      <c r="F303" s="110">
        <v>322.33999999999997</v>
      </c>
      <c r="G303" s="110">
        <v>0.80825450757155648</v>
      </c>
      <c r="H303" s="110">
        <v>1.6192384053408091</v>
      </c>
      <c r="I303" s="110">
        <v>13904.96</v>
      </c>
      <c r="J303" s="110">
        <v>383.53289999999998</v>
      </c>
      <c r="K303" s="110">
        <v>0.85456368391193405</v>
      </c>
      <c r="L303" s="110">
        <v>1.5679983496525212</v>
      </c>
      <c r="M303" s="110"/>
      <c r="N303" s="110"/>
      <c r="O303" s="110"/>
      <c r="P303" s="110">
        <v>30.666840000000001</v>
      </c>
      <c r="Q303" s="110"/>
      <c r="R303" s="110"/>
      <c r="S303" s="110"/>
      <c r="T303" s="110"/>
    </row>
    <row r="304" spans="1:20">
      <c r="A304" s="110" t="s">
        <v>44</v>
      </c>
      <c r="B304" s="110" t="s">
        <v>108</v>
      </c>
      <c r="C304" s="110">
        <v>8890</v>
      </c>
      <c r="D304" s="110">
        <v>27.58005</v>
      </c>
      <c r="E304" s="110">
        <v>7142</v>
      </c>
      <c r="F304" s="110">
        <v>322.33999999999997</v>
      </c>
      <c r="G304" s="110">
        <v>0.80825450757155648</v>
      </c>
      <c r="H304" s="110">
        <v>1.6192384053408091</v>
      </c>
      <c r="I304" s="110">
        <v>13855.289999999999</v>
      </c>
      <c r="J304" s="110">
        <v>383.00689999999997</v>
      </c>
      <c r="K304" s="110">
        <v>0.85378229077581791</v>
      </c>
      <c r="L304" s="110">
        <v>1.5697718217511805</v>
      </c>
      <c r="M304" s="110"/>
      <c r="N304" s="110"/>
      <c r="O304" s="110"/>
      <c r="P304" s="110">
        <v>31.606369999999998</v>
      </c>
      <c r="Q304" s="110"/>
      <c r="R304" s="110"/>
      <c r="S304" s="110"/>
      <c r="T304" s="110"/>
    </row>
    <row r="305" spans="1:20">
      <c r="A305" s="110" t="s">
        <v>44</v>
      </c>
      <c r="B305" s="110" t="s">
        <v>108</v>
      </c>
      <c r="C305" s="110">
        <v>8890</v>
      </c>
      <c r="D305" s="110">
        <v>27.58005</v>
      </c>
      <c r="E305" s="110">
        <v>7142</v>
      </c>
      <c r="F305" s="110">
        <v>322.33999999999997</v>
      </c>
      <c r="G305" s="110">
        <v>0.80825450757155648</v>
      </c>
      <c r="H305" s="110">
        <v>1.6192384053408091</v>
      </c>
      <c r="I305" s="110">
        <v>13745.050000000001</v>
      </c>
      <c r="J305" s="110">
        <v>381.92959999999999</v>
      </c>
      <c r="K305" s="110">
        <v>0.85214642413871189</v>
      </c>
      <c r="L305" s="110">
        <v>1.57329172552787</v>
      </c>
      <c r="M305" s="110"/>
      <c r="N305" s="110"/>
      <c r="O305" s="110"/>
      <c r="P305" s="110">
        <v>33.484220000000001</v>
      </c>
      <c r="Q305" s="110"/>
      <c r="R305" s="110"/>
      <c r="S305" s="110"/>
      <c r="T305" s="110"/>
    </row>
    <row r="306" spans="1:20">
      <c r="A306" s="110" t="s">
        <v>44</v>
      </c>
      <c r="B306" s="110" t="s">
        <v>108</v>
      </c>
      <c r="C306" s="110">
        <v>8890</v>
      </c>
      <c r="D306" s="110">
        <v>27.58005</v>
      </c>
      <c r="E306" s="110">
        <v>7142</v>
      </c>
      <c r="F306" s="110">
        <v>322.33999999999997</v>
      </c>
      <c r="G306" s="110">
        <v>0.80825450757155648</v>
      </c>
      <c r="H306" s="110">
        <v>1.6192384053408091</v>
      </c>
      <c r="I306" s="110">
        <v>13519.24</v>
      </c>
      <c r="J306" s="110">
        <v>379.98680000000002</v>
      </c>
      <c r="K306" s="110">
        <v>0.84897667906882934</v>
      </c>
      <c r="L306" s="110">
        <v>1.5792685006392053</v>
      </c>
      <c r="M306" s="110"/>
      <c r="N306" s="110"/>
      <c r="O306" s="110"/>
      <c r="P306" s="110">
        <v>36.703580000000002</v>
      </c>
      <c r="Q306" s="110"/>
      <c r="R306" s="110"/>
      <c r="S306" s="110"/>
      <c r="T306" s="110"/>
    </row>
    <row r="307" spans="1:20">
      <c r="A307" s="110" t="s">
        <v>44</v>
      </c>
      <c r="B307" s="110" t="s">
        <v>108</v>
      </c>
      <c r="C307" s="110">
        <v>8890</v>
      </c>
      <c r="D307" s="110">
        <v>27.58005</v>
      </c>
      <c r="E307" s="110">
        <v>7142</v>
      </c>
      <c r="F307" s="110">
        <v>322.33999999999997</v>
      </c>
      <c r="G307" s="110">
        <v>0.80825450757155648</v>
      </c>
      <c r="H307" s="110">
        <v>1.6192384053408091</v>
      </c>
      <c r="I307" s="110">
        <v>13386.099999999999</v>
      </c>
      <c r="J307" s="110">
        <v>378.96159999999998</v>
      </c>
      <c r="K307" s="110">
        <v>0.84713235304064993</v>
      </c>
      <c r="L307" s="110">
        <v>1.5822151987507926</v>
      </c>
      <c r="M307" s="110"/>
      <c r="N307" s="110"/>
      <c r="O307" s="110"/>
      <c r="P307" s="110">
        <v>38.290849999999999</v>
      </c>
      <c r="Q307" s="110"/>
      <c r="R307" s="110"/>
      <c r="S307" s="110"/>
      <c r="T307" s="110"/>
    </row>
    <row r="308" spans="1:20">
      <c r="A308" s="110" t="s">
        <v>44</v>
      </c>
      <c r="B308" s="110" t="s">
        <v>108</v>
      </c>
      <c r="C308" s="110">
        <v>8890</v>
      </c>
      <c r="D308" s="110">
        <v>27.58005</v>
      </c>
      <c r="E308" s="110">
        <v>7142</v>
      </c>
      <c r="F308" s="110">
        <v>322.33999999999997</v>
      </c>
      <c r="G308" s="110">
        <v>0.80825450757155648</v>
      </c>
      <c r="H308" s="110">
        <v>1.6192384053408091</v>
      </c>
      <c r="I308" s="110">
        <v>13166.309999999998</v>
      </c>
      <c r="J308" s="110">
        <v>377.38589999999999</v>
      </c>
      <c r="K308" s="110">
        <v>0.84397339828126339</v>
      </c>
      <c r="L308" s="110">
        <v>1.586511533423149</v>
      </c>
      <c r="M308" s="110"/>
      <c r="N308" s="110"/>
      <c r="O308" s="110"/>
      <c r="P308" s="110">
        <v>40.622369999999997</v>
      </c>
      <c r="Q308" s="110"/>
      <c r="R308" s="110"/>
      <c r="S308" s="110"/>
      <c r="T308" s="110"/>
    </row>
    <row r="309" spans="1:20">
      <c r="A309" s="110" t="s">
        <v>44</v>
      </c>
      <c r="B309" s="110" t="s">
        <v>108</v>
      </c>
      <c r="C309" s="110">
        <v>8890</v>
      </c>
      <c r="D309" s="110">
        <v>27.58005</v>
      </c>
      <c r="E309" s="110">
        <v>7142</v>
      </c>
      <c r="F309" s="110">
        <v>322.33999999999997</v>
      </c>
      <c r="G309" s="110">
        <v>0.80825450757155648</v>
      </c>
      <c r="H309" s="110">
        <v>1.6192384053408091</v>
      </c>
      <c r="I309" s="110">
        <v>13041.87</v>
      </c>
      <c r="J309" s="110">
        <v>376.53809999999999</v>
      </c>
      <c r="K309" s="110">
        <v>0.84317448172999199</v>
      </c>
      <c r="L309" s="110">
        <v>1.5710309672544243</v>
      </c>
      <c r="M309" s="110"/>
      <c r="N309" s="110"/>
      <c r="O309" s="110"/>
      <c r="P309" s="110">
        <v>41.814999999999998</v>
      </c>
      <c r="Q309" s="110"/>
      <c r="R309" s="110"/>
      <c r="S309" s="110"/>
      <c r="T309" s="110"/>
    </row>
    <row r="310" spans="1:20">
      <c r="A310" s="110" t="s">
        <v>44</v>
      </c>
      <c r="B310" s="110" t="s">
        <v>108</v>
      </c>
      <c r="C310" s="110">
        <v>8890</v>
      </c>
      <c r="D310" s="110">
        <v>27.58005</v>
      </c>
      <c r="E310" s="110">
        <v>7142</v>
      </c>
      <c r="F310" s="110">
        <v>322.33999999999997</v>
      </c>
      <c r="G310" s="110">
        <v>0.80825450757155648</v>
      </c>
      <c r="H310" s="110">
        <v>1.6192384053408091</v>
      </c>
      <c r="I310" s="110">
        <v>12812.57</v>
      </c>
      <c r="J310" s="110">
        <v>375.05829999999997</v>
      </c>
      <c r="K310" s="110">
        <v>0.84344829896518536</v>
      </c>
      <c r="L310" s="110">
        <v>1.5751313852790132</v>
      </c>
      <c r="M310" s="110"/>
      <c r="N310" s="110"/>
      <c r="O310" s="110"/>
      <c r="P310" s="110">
        <v>43.787750000000003</v>
      </c>
      <c r="Q310" s="110"/>
      <c r="R310" s="110"/>
      <c r="S310" s="110"/>
      <c r="T310" s="110"/>
    </row>
    <row r="311" spans="1:20">
      <c r="A311" s="110" t="s">
        <v>44</v>
      </c>
      <c r="B311" s="110" t="s">
        <v>108</v>
      </c>
      <c r="C311" s="110">
        <v>8890</v>
      </c>
      <c r="D311" s="110">
        <v>27.58005</v>
      </c>
      <c r="E311" s="110">
        <v>7142</v>
      </c>
      <c r="F311" s="110">
        <v>322.33999999999997</v>
      </c>
      <c r="G311" s="110">
        <v>0.80825450757155648</v>
      </c>
      <c r="H311" s="110">
        <v>1.6192384053408091</v>
      </c>
      <c r="I311" s="110">
        <v>12693.12</v>
      </c>
      <c r="J311" s="110">
        <v>374.32319999999999</v>
      </c>
      <c r="K311" s="110">
        <v>0.84342533176339018</v>
      </c>
      <c r="L311" s="110">
        <v>1.5770724164312864</v>
      </c>
      <c r="M311" s="110"/>
      <c r="N311" s="110"/>
      <c r="O311" s="110"/>
      <c r="P311" s="110">
        <v>44.707990000000002</v>
      </c>
      <c r="Q311" s="110"/>
      <c r="R311" s="110"/>
      <c r="S311" s="110"/>
      <c r="T311" s="110"/>
    </row>
    <row r="312" spans="1:20">
      <c r="A312" s="110" t="s">
        <v>44</v>
      </c>
      <c r="B312" s="110" t="s">
        <v>108</v>
      </c>
      <c r="C312" s="110">
        <v>8890</v>
      </c>
      <c r="D312" s="110">
        <v>27.58005</v>
      </c>
      <c r="E312" s="110">
        <v>7142</v>
      </c>
      <c r="F312" s="110">
        <v>322.33999999999997</v>
      </c>
      <c r="G312" s="110">
        <v>0.80825450757155648</v>
      </c>
      <c r="H312" s="110">
        <v>1.6192384053408091</v>
      </c>
      <c r="I312" s="110">
        <v>12308.029999999999</v>
      </c>
      <c r="J312" s="110">
        <v>372.0899</v>
      </c>
      <c r="K312" s="110">
        <v>0.84225471433742327</v>
      </c>
      <c r="L312" s="110">
        <v>1.5823040688786854</v>
      </c>
      <c r="M312" s="110"/>
      <c r="N312" s="110"/>
      <c r="O312" s="110"/>
      <c r="P312" s="110">
        <v>47.240940000000002</v>
      </c>
      <c r="Q312" s="110"/>
      <c r="R312" s="110"/>
      <c r="S312" s="110"/>
      <c r="T312" s="110"/>
    </row>
    <row r="313" spans="1:20">
      <c r="A313" s="110" t="s">
        <v>44</v>
      </c>
      <c r="B313" s="110" t="s">
        <v>108</v>
      </c>
      <c r="C313" s="110">
        <v>8890</v>
      </c>
      <c r="D313" s="110">
        <v>27.58005</v>
      </c>
      <c r="E313" s="110">
        <v>7142</v>
      </c>
      <c r="F313" s="110">
        <v>322.33999999999997</v>
      </c>
      <c r="G313" s="110">
        <v>0.80825450757155648</v>
      </c>
      <c r="H313" s="110">
        <v>1.6192384053408091</v>
      </c>
      <c r="I313" s="110">
        <v>12107.35</v>
      </c>
      <c r="J313" s="110">
        <v>370.97980000000001</v>
      </c>
      <c r="K313" s="110">
        <v>0.8410391408043244</v>
      </c>
      <c r="L313" s="110">
        <v>1.5847415856568015</v>
      </c>
      <c r="M313" s="110"/>
      <c r="N313" s="110"/>
      <c r="O313" s="110"/>
      <c r="P313" s="110">
        <v>48.374029999999998</v>
      </c>
      <c r="Q313" s="110"/>
      <c r="R313" s="110"/>
      <c r="S313" s="110"/>
      <c r="T313" s="110"/>
    </row>
    <row r="314" spans="1:20">
      <c r="A314" s="110" t="s">
        <v>44</v>
      </c>
      <c r="B314" s="110" t="s">
        <v>108</v>
      </c>
      <c r="C314" s="110">
        <v>8890</v>
      </c>
      <c r="D314" s="110">
        <v>27.58005</v>
      </c>
      <c r="E314" s="110">
        <v>7142</v>
      </c>
      <c r="F314" s="110">
        <v>322.33999999999997</v>
      </c>
      <c r="G314" s="110">
        <v>0.80825450757155648</v>
      </c>
      <c r="H314" s="110">
        <v>1.6192384053408091</v>
      </c>
      <c r="I314" s="110">
        <v>11679.869999999999</v>
      </c>
      <c r="J314" s="110">
        <v>368.68220000000002</v>
      </c>
      <c r="K314" s="110">
        <v>0.83787389552578884</v>
      </c>
      <c r="L314" s="110">
        <v>1.5640082025494391</v>
      </c>
      <c r="M314" s="110"/>
      <c r="N314" s="110"/>
      <c r="O314" s="110"/>
      <c r="P314" s="110">
        <v>50.464970000000001</v>
      </c>
      <c r="Q314" s="110"/>
      <c r="R314" s="110"/>
      <c r="S314" s="110"/>
      <c r="T314" s="110"/>
    </row>
    <row r="315" spans="1:20">
      <c r="A315" s="110" t="s">
        <v>44</v>
      </c>
      <c r="B315" s="110" t="s">
        <v>108</v>
      </c>
      <c r="C315" s="110">
        <v>8890</v>
      </c>
      <c r="D315" s="110">
        <v>27.58005</v>
      </c>
      <c r="E315" s="110">
        <v>7142</v>
      </c>
      <c r="F315" s="110">
        <v>322.33999999999997</v>
      </c>
      <c r="G315" s="110">
        <v>0.80825450757155648</v>
      </c>
      <c r="H315" s="110">
        <v>1.6192384053408091</v>
      </c>
      <c r="I315" s="110">
        <v>11447.74</v>
      </c>
      <c r="J315" s="110">
        <v>367.45890000000003</v>
      </c>
      <c r="K315" s="110">
        <v>0.83938596921716679</v>
      </c>
      <c r="L315" s="110">
        <v>1.5665843645061175</v>
      </c>
      <c r="M315" s="110"/>
      <c r="N315" s="110"/>
      <c r="O315" s="110"/>
      <c r="P315" s="110">
        <v>51.439390000000003</v>
      </c>
      <c r="Q315" s="110"/>
      <c r="R315" s="110"/>
      <c r="S315" s="110"/>
      <c r="T315" s="110"/>
    </row>
    <row r="316" spans="1:20">
      <c r="A316" s="110" t="s">
        <v>44</v>
      </c>
      <c r="B316" s="110" t="s">
        <v>108</v>
      </c>
      <c r="C316" s="110">
        <v>8890</v>
      </c>
      <c r="D316" s="110">
        <v>27.58005</v>
      </c>
      <c r="E316" s="110">
        <v>7142</v>
      </c>
      <c r="F316" s="110">
        <v>322.33999999999997</v>
      </c>
      <c r="G316" s="110">
        <v>0.80825450757155648</v>
      </c>
      <c r="H316" s="110">
        <v>1.6192384053408091</v>
      </c>
      <c r="I316" s="110">
        <v>11017.43</v>
      </c>
      <c r="J316" s="110">
        <v>365.21039999999999</v>
      </c>
      <c r="K316" s="110">
        <v>0.84018444517169855</v>
      </c>
      <c r="L316" s="110">
        <v>1.5712757946721809</v>
      </c>
      <c r="M316" s="110"/>
      <c r="N316" s="110"/>
      <c r="O316" s="110"/>
      <c r="P316" s="110">
        <v>53.042949999999998</v>
      </c>
      <c r="Q316" s="110"/>
      <c r="R316" s="110"/>
      <c r="S316" s="110"/>
      <c r="T316" s="110"/>
    </row>
    <row r="317" spans="1:20">
      <c r="A317" s="110" t="s">
        <v>44</v>
      </c>
      <c r="B317" s="110" t="s">
        <v>108</v>
      </c>
      <c r="C317" s="110">
        <v>8890</v>
      </c>
      <c r="D317" s="110">
        <v>27.58005</v>
      </c>
      <c r="E317" s="110">
        <v>7142</v>
      </c>
      <c r="F317" s="110">
        <v>322.33999999999997</v>
      </c>
      <c r="G317" s="110">
        <v>0.80825450757155648</v>
      </c>
      <c r="H317" s="110">
        <v>1.6192384053408091</v>
      </c>
      <c r="I317" s="110">
        <v>10771.59</v>
      </c>
      <c r="J317" s="110">
        <v>363.94499999999999</v>
      </c>
      <c r="K317" s="110">
        <v>0.83949065801884037</v>
      </c>
      <c r="L317" s="110">
        <v>1.573863748740705</v>
      </c>
      <c r="M317" s="110"/>
      <c r="N317" s="110"/>
      <c r="O317" s="110"/>
      <c r="P317" s="110">
        <v>53.831049999999998</v>
      </c>
      <c r="Q317" s="110"/>
      <c r="R317" s="110"/>
      <c r="S317" s="110"/>
      <c r="T317" s="110"/>
    </row>
    <row r="318" spans="1:20">
      <c r="A318" s="110" t="s">
        <v>44</v>
      </c>
      <c r="B318" s="110" t="s">
        <v>108</v>
      </c>
      <c r="C318" s="110">
        <v>8890</v>
      </c>
      <c r="D318" s="110">
        <v>27.58005</v>
      </c>
      <c r="E318" s="110">
        <v>7142</v>
      </c>
      <c r="F318" s="110">
        <v>322.33999999999997</v>
      </c>
      <c r="G318" s="110">
        <v>0.80825450757155648</v>
      </c>
      <c r="H318" s="110">
        <v>1.6192384053408091</v>
      </c>
      <c r="I318" s="110">
        <v>10332.31</v>
      </c>
      <c r="J318" s="110">
        <v>361.6848</v>
      </c>
      <c r="K318" s="110">
        <v>0.83909426348489469</v>
      </c>
      <c r="L318" s="110">
        <v>1.5523568419059575</v>
      </c>
      <c r="M318" s="110"/>
      <c r="N318" s="110"/>
      <c r="O318" s="110"/>
      <c r="P318" s="110">
        <v>55.06279</v>
      </c>
      <c r="Q318" s="110"/>
      <c r="R318" s="110"/>
      <c r="S318" s="110"/>
      <c r="T318" s="110"/>
    </row>
    <row r="319" spans="1:20">
      <c r="A319" s="110" t="s">
        <v>44</v>
      </c>
      <c r="B319" s="110" t="s">
        <v>108</v>
      </c>
      <c r="C319" s="110">
        <v>8890</v>
      </c>
      <c r="D319" s="110">
        <v>27.58005</v>
      </c>
      <c r="E319" s="110">
        <v>7142</v>
      </c>
      <c r="F319" s="110">
        <v>322.33999999999997</v>
      </c>
      <c r="G319" s="110">
        <v>0.80825450757155648</v>
      </c>
      <c r="H319" s="110">
        <v>1.6192384053408091</v>
      </c>
      <c r="I319" s="110">
        <v>10107.299999999999</v>
      </c>
      <c r="J319" s="110">
        <v>360.52319999999997</v>
      </c>
      <c r="K319" s="110">
        <v>0.84079168670335314</v>
      </c>
      <c r="L319" s="110">
        <v>1.5563442410531867</v>
      </c>
      <c r="M319" s="110"/>
      <c r="N319" s="110"/>
      <c r="O319" s="110"/>
      <c r="P319" s="110">
        <v>55.642890000000001</v>
      </c>
      <c r="Q319" s="110"/>
      <c r="R319" s="110"/>
      <c r="S319" s="110"/>
      <c r="T319" s="110"/>
    </row>
    <row r="320" spans="1:20">
      <c r="A320" s="110" t="s">
        <v>44</v>
      </c>
      <c r="B320" s="110" t="s">
        <v>108</v>
      </c>
      <c r="C320" s="110">
        <v>8890</v>
      </c>
      <c r="D320" s="110">
        <v>27.58005</v>
      </c>
      <c r="E320" s="110">
        <v>7142</v>
      </c>
      <c r="F320" s="110">
        <v>322.33999999999997</v>
      </c>
      <c r="G320" s="110">
        <v>0.80825450757155648</v>
      </c>
      <c r="H320" s="110">
        <v>1.6192384053408091</v>
      </c>
      <c r="I320" s="110">
        <v>9889.5409999999993</v>
      </c>
      <c r="J320" s="110">
        <v>359.39589999999998</v>
      </c>
      <c r="K320" s="110">
        <v>0.84155758771807521</v>
      </c>
      <c r="L320" s="110">
        <v>1.5591050136381039</v>
      </c>
      <c r="M320" s="110"/>
      <c r="N320" s="110"/>
      <c r="O320" s="110"/>
      <c r="P320" s="110">
        <v>56.177120000000002</v>
      </c>
      <c r="Q320" s="110"/>
      <c r="R320" s="110"/>
      <c r="S320" s="110"/>
      <c r="T320" s="110"/>
    </row>
    <row r="321" spans="1:20">
      <c r="A321" s="110" t="s">
        <v>44</v>
      </c>
      <c r="B321" s="110" t="s">
        <v>108</v>
      </c>
      <c r="C321" s="110">
        <v>8890</v>
      </c>
      <c r="D321" s="110">
        <v>27.58005</v>
      </c>
      <c r="E321" s="110">
        <v>7142</v>
      </c>
      <c r="F321" s="110">
        <v>322.33999999999997</v>
      </c>
      <c r="G321" s="110">
        <v>0.80825450757155648</v>
      </c>
      <c r="H321" s="110">
        <v>1.6192384053408091</v>
      </c>
      <c r="I321" s="110">
        <v>9847.875</v>
      </c>
      <c r="J321" s="110">
        <v>359.17930000000001</v>
      </c>
      <c r="K321" s="110">
        <v>0.84160482301764905</v>
      </c>
      <c r="L321" s="110">
        <v>1.5596514073983148</v>
      </c>
      <c r="M321" s="110"/>
      <c r="N321" s="110"/>
      <c r="O321" s="110"/>
      <c r="P321" s="110">
        <v>56.276919999999997</v>
      </c>
      <c r="Q321" s="110"/>
      <c r="R321" s="110"/>
      <c r="S321" s="110"/>
      <c r="T321" s="110"/>
    </row>
    <row r="322" spans="1:20">
      <c r="A322" s="110" t="s">
        <v>44</v>
      </c>
      <c r="B322" s="110" t="s">
        <v>108</v>
      </c>
      <c r="C322" s="110">
        <v>8890</v>
      </c>
      <c r="D322" s="110">
        <v>27.58005</v>
      </c>
      <c r="E322" s="110">
        <v>7142</v>
      </c>
      <c r="F322" s="110">
        <v>322.33999999999997</v>
      </c>
      <c r="G322" s="110">
        <v>0.80825450757155648</v>
      </c>
      <c r="H322" s="110">
        <v>1.6192384053408091</v>
      </c>
      <c r="I322" s="110">
        <v>9828.0220000000008</v>
      </c>
      <c r="J322" s="110">
        <v>359.07589999999999</v>
      </c>
      <c r="K322" s="110">
        <v>0.84161592723103917</v>
      </c>
      <c r="L322" s="110">
        <v>1.5599144134673046</v>
      </c>
      <c r="M322" s="110"/>
      <c r="N322" s="110"/>
      <c r="O322" s="110"/>
      <c r="P322" s="110">
        <v>56.324199999999998</v>
      </c>
      <c r="Q322" s="110"/>
      <c r="R322" s="110"/>
      <c r="S322" s="110"/>
      <c r="T322" s="110"/>
    </row>
    <row r="323" spans="1:20">
      <c r="A323" s="110" t="s">
        <v>44</v>
      </c>
      <c r="B323" s="110" t="s">
        <v>109</v>
      </c>
      <c r="C323" s="110">
        <v>13335</v>
      </c>
      <c r="D323" s="110">
        <v>24.95599</v>
      </c>
      <c r="E323" s="110">
        <v>7142</v>
      </c>
      <c r="F323" s="110">
        <v>322.33999999999997</v>
      </c>
      <c r="G323" s="110">
        <v>0.80310040469790345</v>
      </c>
      <c r="H323" s="110">
        <v>1.6107850666188304</v>
      </c>
      <c r="I323" s="110">
        <v>24736.240000000002</v>
      </c>
      <c r="J323" s="110">
        <v>432.1198</v>
      </c>
      <c r="K323" s="110">
        <v>0.93996837090613172</v>
      </c>
      <c r="L323" s="110">
        <v>1.4944131745049445</v>
      </c>
      <c r="M323" s="110"/>
      <c r="N323" s="110"/>
      <c r="O323" s="110"/>
      <c r="P323" s="110">
        <v>51.862789999999997</v>
      </c>
      <c r="Q323" s="110"/>
      <c r="R323" s="110"/>
      <c r="S323" s="110"/>
      <c r="T323" s="110"/>
    </row>
    <row r="324" spans="1:20">
      <c r="A324" s="110" t="s">
        <v>44</v>
      </c>
      <c r="B324" s="110" t="s">
        <v>109</v>
      </c>
      <c r="C324" s="110">
        <v>13335</v>
      </c>
      <c r="D324" s="110">
        <v>24.95599</v>
      </c>
      <c r="E324" s="110">
        <v>7142</v>
      </c>
      <c r="F324" s="110">
        <v>322.33999999999997</v>
      </c>
      <c r="G324" s="110">
        <v>0.80310040469790345</v>
      </c>
      <c r="H324" s="110">
        <v>1.6107850666188304</v>
      </c>
      <c r="I324" s="110">
        <v>24677.56</v>
      </c>
      <c r="J324" s="110">
        <v>431.76929999999999</v>
      </c>
      <c r="K324" s="110">
        <v>0.93934607392762581</v>
      </c>
      <c r="L324" s="110">
        <v>1.4947944991476156</v>
      </c>
      <c r="M324" s="110"/>
      <c r="N324" s="110"/>
      <c r="O324" s="110"/>
      <c r="P324" s="110">
        <v>52.556289999999997</v>
      </c>
      <c r="Q324" s="110"/>
      <c r="R324" s="110"/>
      <c r="S324" s="110"/>
      <c r="T324" s="110"/>
    </row>
    <row r="325" spans="1:20">
      <c r="A325" s="110" t="s">
        <v>44</v>
      </c>
      <c r="B325" s="110" t="s">
        <v>109</v>
      </c>
      <c r="C325" s="110">
        <v>13335</v>
      </c>
      <c r="D325" s="110">
        <v>24.95599</v>
      </c>
      <c r="E325" s="110">
        <v>7142</v>
      </c>
      <c r="F325" s="110">
        <v>322.33999999999997</v>
      </c>
      <c r="G325" s="110">
        <v>0.80310040469790345</v>
      </c>
      <c r="H325" s="110">
        <v>1.6107850666188304</v>
      </c>
      <c r="I325" s="110">
        <v>24648.39</v>
      </c>
      <c r="J325" s="110">
        <v>431.59840000000003</v>
      </c>
      <c r="K325" s="110">
        <v>0.93903677134825059</v>
      </c>
      <c r="L325" s="110">
        <v>1.4949705827360298</v>
      </c>
      <c r="M325" s="110"/>
      <c r="N325" s="110"/>
      <c r="O325" s="110"/>
      <c r="P325" s="110">
        <v>52.890450000000001</v>
      </c>
      <c r="Q325" s="110"/>
      <c r="R325" s="110"/>
      <c r="S325" s="110"/>
      <c r="T325" s="110"/>
    </row>
    <row r="326" spans="1:20">
      <c r="A326" s="110" t="s">
        <v>44</v>
      </c>
      <c r="B326" s="110" t="s">
        <v>109</v>
      </c>
      <c r="C326" s="110">
        <v>13335</v>
      </c>
      <c r="D326" s="110">
        <v>24.95599</v>
      </c>
      <c r="E326" s="110">
        <v>7142</v>
      </c>
      <c r="F326" s="110">
        <v>322.33999999999997</v>
      </c>
      <c r="G326" s="110">
        <v>0.80310040469790345</v>
      </c>
      <c r="H326" s="110">
        <v>1.6107850666188304</v>
      </c>
      <c r="I326" s="110">
        <v>24381.620000000003</v>
      </c>
      <c r="J326" s="110">
        <v>430.1268</v>
      </c>
      <c r="K326" s="110">
        <v>0.93619713426556106</v>
      </c>
      <c r="L326" s="110">
        <v>1.4962064709153862</v>
      </c>
      <c r="M326" s="110"/>
      <c r="N326" s="110"/>
      <c r="O326" s="110"/>
      <c r="P326" s="110">
        <v>55.620399999999997</v>
      </c>
      <c r="Q326" s="110"/>
      <c r="R326" s="110"/>
      <c r="S326" s="110"/>
      <c r="T326" s="110"/>
    </row>
    <row r="327" spans="1:20">
      <c r="A327" s="110" t="s">
        <v>44</v>
      </c>
      <c r="B327" s="110" t="s">
        <v>109</v>
      </c>
      <c r="C327" s="110">
        <v>13335</v>
      </c>
      <c r="D327" s="110">
        <v>24.95599</v>
      </c>
      <c r="E327" s="110">
        <v>7142</v>
      </c>
      <c r="F327" s="110">
        <v>322.33999999999997</v>
      </c>
      <c r="G327" s="110">
        <v>0.80310040469790345</v>
      </c>
      <c r="H327" s="110">
        <v>1.6107850666188304</v>
      </c>
      <c r="I327" s="110">
        <v>24158.77</v>
      </c>
      <c r="J327" s="110">
        <v>428.97770000000003</v>
      </c>
      <c r="K327" s="110">
        <v>0.9337546845212229</v>
      </c>
      <c r="L327" s="110">
        <v>1.4968776730092994</v>
      </c>
      <c r="M327" s="110"/>
      <c r="N327" s="110"/>
      <c r="O327" s="110"/>
      <c r="P327" s="110">
        <v>57.657899999999998</v>
      </c>
      <c r="Q327" s="110"/>
      <c r="R327" s="110"/>
      <c r="S327" s="110"/>
      <c r="T327" s="110"/>
    </row>
    <row r="328" spans="1:20">
      <c r="A328" s="110" t="s">
        <v>44</v>
      </c>
      <c r="B328" s="110" t="s">
        <v>109</v>
      </c>
      <c r="C328" s="110">
        <v>13335</v>
      </c>
      <c r="D328" s="110">
        <v>24.95599</v>
      </c>
      <c r="E328" s="110">
        <v>7142</v>
      </c>
      <c r="F328" s="110">
        <v>322.33999999999997</v>
      </c>
      <c r="G328" s="110">
        <v>0.80310040469790345</v>
      </c>
      <c r="H328" s="110">
        <v>1.6107850666188304</v>
      </c>
      <c r="I328" s="110">
        <v>23870.83</v>
      </c>
      <c r="J328" s="110">
        <v>427.5829</v>
      </c>
      <c r="K328" s="110">
        <v>0.93048577441269131</v>
      </c>
      <c r="L328" s="110">
        <v>1.4973239851138067</v>
      </c>
      <c r="M328" s="110"/>
      <c r="N328" s="110"/>
      <c r="O328" s="110"/>
      <c r="P328" s="110">
        <v>60.021859999999997</v>
      </c>
      <c r="Q328" s="110"/>
      <c r="R328" s="110"/>
      <c r="S328" s="110"/>
      <c r="T328" s="110"/>
    </row>
    <row r="329" spans="1:20">
      <c r="A329" s="110" t="s">
        <v>44</v>
      </c>
      <c r="B329" s="110" t="s">
        <v>109</v>
      </c>
      <c r="C329" s="110">
        <v>13335</v>
      </c>
      <c r="D329" s="110">
        <v>24.95599</v>
      </c>
      <c r="E329" s="110">
        <v>7142</v>
      </c>
      <c r="F329" s="110">
        <v>322.33999999999997</v>
      </c>
      <c r="G329" s="110">
        <v>0.80310040469790345</v>
      </c>
      <c r="H329" s="110">
        <v>1.6107850666188304</v>
      </c>
      <c r="I329" s="110">
        <v>23074.03</v>
      </c>
      <c r="J329" s="110">
        <v>424.17919999999998</v>
      </c>
      <c r="K329" s="110">
        <v>0.92060805962940073</v>
      </c>
      <c r="L329" s="110">
        <v>1.496057721059302</v>
      </c>
      <c r="M329" s="110"/>
      <c r="N329" s="110"/>
      <c r="O329" s="110"/>
      <c r="P329" s="110">
        <v>65.664230000000003</v>
      </c>
      <c r="Q329" s="110"/>
      <c r="R329" s="110"/>
      <c r="S329" s="110"/>
      <c r="T329" s="110"/>
    </row>
    <row r="330" spans="1:20">
      <c r="A330" s="110" t="s">
        <v>44</v>
      </c>
      <c r="B330" s="110" t="s">
        <v>109</v>
      </c>
      <c r="C330" s="110">
        <v>13335</v>
      </c>
      <c r="D330" s="110">
        <v>24.95599</v>
      </c>
      <c r="E330" s="110">
        <v>7142</v>
      </c>
      <c r="F330" s="110">
        <v>322.33999999999997</v>
      </c>
      <c r="G330" s="110">
        <v>0.80310040469790345</v>
      </c>
      <c r="H330" s="110">
        <v>1.6107850666188304</v>
      </c>
      <c r="I330" s="110">
        <v>22252.920000000002</v>
      </c>
      <c r="J330" s="110">
        <v>421.10489999999999</v>
      </c>
      <c r="K330" s="110">
        <v>0.91493291300953927</v>
      </c>
      <c r="L330" s="110">
        <v>1.5136742152583362</v>
      </c>
      <c r="M330" s="110"/>
      <c r="N330" s="110"/>
      <c r="O330" s="110"/>
      <c r="P330" s="110">
        <v>70.251739999999998</v>
      </c>
      <c r="Q330" s="110"/>
      <c r="R330" s="110"/>
      <c r="S330" s="110"/>
      <c r="T330" s="110"/>
    </row>
    <row r="331" spans="1:20">
      <c r="A331" s="110" t="s">
        <v>44</v>
      </c>
      <c r="B331" s="110" t="s">
        <v>109</v>
      </c>
      <c r="C331" s="110">
        <v>13335</v>
      </c>
      <c r="D331" s="110">
        <v>24.95599</v>
      </c>
      <c r="E331" s="110">
        <v>7142</v>
      </c>
      <c r="F331" s="110">
        <v>322.33999999999997</v>
      </c>
      <c r="G331" s="110">
        <v>0.80310040469790345</v>
      </c>
      <c r="H331" s="110">
        <v>1.6107850666188304</v>
      </c>
      <c r="I331" s="110">
        <v>21321.019999999997</v>
      </c>
      <c r="J331" s="110">
        <v>417.87139999999999</v>
      </c>
      <c r="K331" s="110">
        <v>0.9077455673866327</v>
      </c>
      <c r="L331" s="110">
        <v>1.5115504729606981</v>
      </c>
      <c r="M331" s="110"/>
      <c r="N331" s="110"/>
      <c r="O331" s="110"/>
      <c r="P331" s="110">
        <v>74.219009999999997</v>
      </c>
      <c r="Q331" s="110"/>
      <c r="R331" s="110"/>
      <c r="S331" s="110"/>
      <c r="T331" s="110"/>
    </row>
    <row r="332" spans="1:20">
      <c r="A332" s="110" t="s">
        <v>44</v>
      </c>
      <c r="B332" s="110" t="s">
        <v>109</v>
      </c>
      <c r="C332" s="110">
        <v>13335</v>
      </c>
      <c r="D332" s="110">
        <v>24.95599</v>
      </c>
      <c r="E332" s="110">
        <v>7142</v>
      </c>
      <c r="F332" s="110">
        <v>322.33999999999997</v>
      </c>
      <c r="G332" s="110">
        <v>0.80310040469790345</v>
      </c>
      <c r="H332" s="110">
        <v>1.6107850666188304</v>
      </c>
      <c r="I332" s="110">
        <v>20600.759999999998</v>
      </c>
      <c r="J332" s="110">
        <v>415.45920000000001</v>
      </c>
      <c r="K332" s="110">
        <v>0.90009059059455299</v>
      </c>
      <c r="L332" s="110">
        <v>1.5084210939408085</v>
      </c>
      <c r="M332" s="110"/>
      <c r="N332" s="110"/>
      <c r="O332" s="110"/>
      <c r="P332" s="110">
        <v>76.74118</v>
      </c>
      <c r="Q332" s="110"/>
      <c r="R332" s="110"/>
      <c r="S332" s="110"/>
      <c r="T332" s="110"/>
    </row>
    <row r="333" spans="1:20">
      <c r="A333" s="110" t="s">
        <v>44</v>
      </c>
      <c r="B333" s="110" t="s">
        <v>109</v>
      </c>
      <c r="C333" s="110">
        <v>13335</v>
      </c>
      <c r="D333" s="110">
        <v>24.95599</v>
      </c>
      <c r="E333" s="110">
        <v>7142</v>
      </c>
      <c r="F333" s="110">
        <v>322.33999999999997</v>
      </c>
      <c r="G333" s="110">
        <v>0.80310040469790345</v>
      </c>
      <c r="H333" s="110">
        <v>1.6107850666188304</v>
      </c>
      <c r="I333" s="110">
        <v>20412.559999999998</v>
      </c>
      <c r="J333" s="110">
        <v>414.84949999999998</v>
      </c>
      <c r="K333" s="110">
        <v>0.89846656568310479</v>
      </c>
      <c r="L333" s="110">
        <v>1.5217732963669328</v>
      </c>
      <c r="M333" s="110"/>
      <c r="N333" s="110"/>
      <c r="O333" s="110"/>
      <c r="P333" s="110">
        <v>77.311329999999998</v>
      </c>
      <c r="Q333" s="110"/>
      <c r="R333" s="110"/>
      <c r="S333" s="110"/>
      <c r="T333" s="110"/>
    </row>
    <row r="334" spans="1:20">
      <c r="A334" s="110" t="s">
        <v>44</v>
      </c>
      <c r="B334" s="110" t="s">
        <v>109</v>
      </c>
      <c r="C334" s="110">
        <v>13335</v>
      </c>
      <c r="D334" s="110">
        <v>24.95599</v>
      </c>
      <c r="E334" s="110">
        <v>7142</v>
      </c>
      <c r="F334" s="110">
        <v>322.33999999999997</v>
      </c>
      <c r="G334" s="110">
        <v>0.80310040469790345</v>
      </c>
      <c r="H334" s="110">
        <v>1.6107850666188304</v>
      </c>
      <c r="I334" s="110">
        <v>19914.55</v>
      </c>
      <c r="J334" s="110">
        <v>413.25670000000002</v>
      </c>
      <c r="K334" s="110">
        <v>0.89699746058855312</v>
      </c>
      <c r="L334" s="110">
        <v>1.5211815942764759</v>
      </c>
      <c r="M334" s="110"/>
      <c r="N334" s="110"/>
      <c r="O334" s="110"/>
      <c r="P334" s="110">
        <v>78.703670000000002</v>
      </c>
      <c r="Q334" s="110"/>
      <c r="R334" s="110"/>
      <c r="S334" s="110"/>
      <c r="T334" s="110"/>
    </row>
    <row r="335" spans="1:20">
      <c r="A335" s="110" t="s">
        <v>44</v>
      </c>
      <c r="B335" s="110" t="s">
        <v>109</v>
      </c>
      <c r="C335" s="110">
        <v>13335</v>
      </c>
      <c r="D335" s="110">
        <v>24.95599</v>
      </c>
      <c r="E335" s="110">
        <v>7142</v>
      </c>
      <c r="F335" s="110">
        <v>322.33999999999997</v>
      </c>
      <c r="G335" s="110">
        <v>0.80310040469790345</v>
      </c>
      <c r="H335" s="110">
        <v>1.6107850666188304</v>
      </c>
      <c r="I335" s="110">
        <v>18810.62</v>
      </c>
      <c r="J335" s="110">
        <v>409.7799</v>
      </c>
      <c r="K335" s="110">
        <v>0.8896873393066036</v>
      </c>
      <c r="L335" s="110">
        <v>1.5178403763494024</v>
      </c>
      <c r="M335" s="110"/>
      <c r="N335" s="110"/>
      <c r="O335" s="110"/>
      <c r="P335" s="110">
        <v>81.176900000000003</v>
      </c>
      <c r="Q335" s="110"/>
      <c r="R335" s="110"/>
      <c r="S335" s="110"/>
      <c r="T335" s="110"/>
    </row>
    <row r="336" spans="1:20">
      <c r="A336" s="110" t="s">
        <v>44</v>
      </c>
      <c r="B336" s="110" t="s">
        <v>109</v>
      </c>
      <c r="C336" s="110">
        <v>13335</v>
      </c>
      <c r="D336" s="110">
        <v>24.95599</v>
      </c>
      <c r="E336" s="110">
        <v>7142</v>
      </c>
      <c r="F336" s="110">
        <v>322.33999999999997</v>
      </c>
      <c r="G336" s="110">
        <v>0.80310040469790345</v>
      </c>
      <c r="H336" s="110">
        <v>1.6107850666188304</v>
      </c>
      <c r="I336" s="110">
        <v>18232.259999999998</v>
      </c>
      <c r="J336" s="110">
        <v>407.976</v>
      </c>
      <c r="K336" s="110">
        <v>0.88464680518426886</v>
      </c>
      <c r="L336" s="110">
        <v>1.5214437217554626</v>
      </c>
      <c r="M336" s="110"/>
      <c r="N336" s="110"/>
      <c r="O336" s="110"/>
      <c r="P336" s="110">
        <v>82.188779999999994</v>
      </c>
      <c r="Q336" s="110"/>
      <c r="R336" s="110"/>
      <c r="S336" s="110"/>
      <c r="T336" s="110"/>
    </row>
    <row r="337" spans="1:20">
      <c r="A337" s="110" t="s">
        <v>44</v>
      </c>
      <c r="B337" s="110" t="s">
        <v>109</v>
      </c>
      <c r="C337" s="110">
        <v>13335</v>
      </c>
      <c r="D337" s="110">
        <v>24.95599</v>
      </c>
      <c r="E337" s="110">
        <v>7142</v>
      </c>
      <c r="F337" s="110">
        <v>322.33999999999997</v>
      </c>
      <c r="G337" s="110">
        <v>0.80310040469790345</v>
      </c>
      <c r="H337" s="110">
        <v>1.6107850666188304</v>
      </c>
      <c r="I337" s="110">
        <v>17094.419999999998</v>
      </c>
      <c r="J337" s="110">
        <v>404.45269999999999</v>
      </c>
      <c r="K337" s="110">
        <v>0.88133989211110308</v>
      </c>
      <c r="L337" s="110">
        <v>1.5183424959842862</v>
      </c>
      <c r="M337" s="110"/>
      <c r="N337" s="110"/>
      <c r="O337" s="110"/>
      <c r="P337" s="110">
        <v>83.776759999999996</v>
      </c>
      <c r="Q337" s="110"/>
      <c r="R337" s="110"/>
      <c r="S337" s="110"/>
      <c r="T337" s="110"/>
    </row>
    <row r="338" spans="1:20">
      <c r="A338" s="110" t="s">
        <v>44</v>
      </c>
      <c r="B338" s="110" t="s">
        <v>109</v>
      </c>
      <c r="C338" s="110">
        <v>13335</v>
      </c>
      <c r="D338" s="110">
        <v>24.95599</v>
      </c>
      <c r="E338" s="110">
        <v>7142</v>
      </c>
      <c r="F338" s="110">
        <v>322.33999999999997</v>
      </c>
      <c r="G338" s="110">
        <v>0.80310040469790345</v>
      </c>
      <c r="H338" s="110">
        <v>1.6107850666188304</v>
      </c>
      <c r="I338" s="110">
        <v>16575.219999999998</v>
      </c>
      <c r="J338" s="110">
        <v>402.7783</v>
      </c>
      <c r="K338" s="110">
        <v>0.87708977584755676</v>
      </c>
      <c r="L338" s="110">
        <v>1.5162145948822188</v>
      </c>
      <c r="M338" s="110"/>
      <c r="N338" s="110"/>
      <c r="O338" s="110"/>
      <c r="P338" s="110">
        <v>84.434359999999998</v>
      </c>
      <c r="Q338" s="110"/>
      <c r="R338" s="110"/>
      <c r="S338" s="110"/>
      <c r="T338" s="110"/>
    </row>
    <row r="339" spans="1:20">
      <c r="A339" s="110" t="s">
        <v>44</v>
      </c>
      <c r="B339" s="110" t="s">
        <v>109</v>
      </c>
      <c r="C339" s="110">
        <v>13335</v>
      </c>
      <c r="D339" s="110">
        <v>24.95599</v>
      </c>
      <c r="E339" s="110">
        <v>7142</v>
      </c>
      <c r="F339" s="110">
        <v>322.33999999999997</v>
      </c>
      <c r="G339" s="110">
        <v>0.80310040469790345</v>
      </c>
      <c r="H339" s="110">
        <v>1.6107850666188304</v>
      </c>
      <c r="I339" s="110">
        <v>15372.470000000001</v>
      </c>
      <c r="J339" s="110">
        <v>398.82499999999999</v>
      </c>
      <c r="K339" s="110">
        <v>0.87435291106440372</v>
      </c>
      <c r="L339" s="110">
        <v>1.5118761337641642</v>
      </c>
      <c r="M339" s="110"/>
      <c r="N339" s="110"/>
      <c r="O339" s="110"/>
      <c r="P339" s="110">
        <v>85.768699999999995</v>
      </c>
      <c r="Q339" s="110"/>
      <c r="R339" s="110"/>
      <c r="S339" s="110"/>
      <c r="T339" s="110"/>
    </row>
    <row r="340" spans="1:20">
      <c r="A340" s="110" t="s">
        <v>44</v>
      </c>
      <c r="B340" s="110" t="s">
        <v>109</v>
      </c>
      <c r="C340" s="110">
        <v>13335</v>
      </c>
      <c r="D340" s="110">
        <v>24.95599</v>
      </c>
      <c r="E340" s="110">
        <v>7142</v>
      </c>
      <c r="F340" s="110">
        <v>322.33999999999997</v>
      </c>
      <c r="G340" s="110">
        <v>0.80310040469790345</v>
      </c>
      <c r="H340" s="110">
        <v>1.6107850666188304</v>
      </c>
      <c r="I340" s="110">
        <v>14807.12</v>
      </c>
      <c r="J340" s="110">
        <v>396.89600000000002</v>
      </c>
      <c r="K340" s="110">
        <v>0.87055704116005295</v>
      </c>
      <c r="L340" s="110">
        <v>1.5133954668190472</v>
      </c>
      <c r="M340" s="110"/>
      <c r="N340" s="110"/>
      <c r="O340" s="110"/>
      <c r="P340" s="110">
        <v>86.341769999999997</v>
      </c>
      <c r="Q340" s="110"/>
      <c r="R340" s="110"/>
      <c r="S340" s="110"/>
      <c r="T340" s="110"/>
    </row>
    <row r="341" spans="1:20">
      <c r="A341" s="110" t="s">
        <v>44</v>
      </c>
      <c r="B341" s="110" t="s">
        <v>109</v>
      </c>
      <c r="C341" s="110">
        <v>13335</v>
      </c>
      <c r="D341" s="110">
        <v>24.95599</v>
      </c>
      <c r="E341" s="110">
        <v>7142</v>
      </c>
      <c r="F341" s="110">
        <v>322.33999999999997</v>
      </c>
      <c r="G341" s="110">
        <v>0.80310040469790345</v>
      </c>
      <c r="H341" s="110">
        <v>1.6107850666188304</v>
      </c>
      <c r="I341" s="110">
        <v>13500.03</v>
      </c>
      <c r="J341" s="110">
        <v>392.33240000000001</v>
      </c>
      <c r="K341" s="110">
        <v>0.8690848444477256</v>
      </c>
      <c r="L341" s="110">
        <v>1.5054459146205525</v>
      </c>
      <c r="M341" s="110"/>
      <c r="N341" s="110"/>
      <c r="O341" s="110"/>
      <c r="P341" s="110">
        <v>87.418629999999993</v>
      </c>
      <c r="Q341" s="110"/>
      <c r="R341" s="110"/>
      <c r="S341" s="110"/>
      <c r="T341" s="110"/>
    </row>
    <row r="342" spans="1:20">
      <c r="A342" s="110" t="s">
        <v>44</v>
      </c>
      <c r="B342" s="110" t="s">
        <v>109</v>
      </c>
      <c r="C342" s="110">
        <v>12700</v>
      </c>
      <c r="D342" s="110">
        <v>24.95599</v>
      </c>
      <c r="E342" s="110">
        <v>7142</v>
      </c>
      <c r="F342" s="110">
        <v>322.33999999999997</v>
      </c>
      <c r="G342" s="110">
        <v>0.80310040469790345</v>
      </c>
      <c r="H342" s="110">
        <v>1.6107850666188304</v>
      </c>
      <c r="I342" s="110">
        <v>22612.21</v>
      </c>
      <c r="J342" s="110">
        <v>424.24509999999998</v>
      </c>
      <c r="K342" s="110">
        <v>0.91947014366645485</v>
      </c>
      <c r="L342" s="110">
        <v>1.5080399461352378</v>
      </c>
      <c r="M342" s="110"/>
      <c r="N342" s="110"/>
      <c r="O342" s="110"/>
      <c r="P342" s="110">
        <v>46.861469999999997</v>
      </c>
      <c r="Q342" s="110"/>
      <c r="R342" s="110"/>
      <c r="S342" s="110"/>
      <c r="T342" s="110"/>
    </row>
    <row r="343" spans="1:20">
      <c r="A343" s="110" t="s">
        <v>44</v>
      </c>
      <c r="B343" s="110" t="s">
        <v>109</v>
      </c>
      <c r="C343" s="110">
        <v>12700</v>
      </c>
      <c r="D343" s="110">
        <v>24.95599</v>
      </c>
      <c r="E343" s="110">
        <v>7142</v>
      </c>
      <c r="F343" s="110">
        <v>322.33999999999997</v>
      </c>
      <c r="G343" s="110">
        <v>0.80310040469790345</v>
      </c>
      <c r="H343" s="110">
        <v>1.6107850666188304</v>
      </c>
      <c r="I343" s="110">
        <v>22580.02</v>
      </c>
      <c r="J343" s="110">
        <v>424.02969999999999</v>
      </c>
      <c r="K343" s="110">
        <v>0.9191780780348674</v>
      </c>
      <c r="L343" s="110">
        <v>1.5082143444058456</v>
      </c>
      <c r="M343" s="110"/>
      <c r="N343" s="110"/>
      <c r="O343" s="110"/>
      <c r="P343" s="110">
        <v>47.293010000000002</v>
      </c>
      <c r="Q343" s="110"/>
      <c r="R343" s="110"/>
      <c r="S343" s="110"/>
      <c r="T343" s="110"/>
    </row>
    <row r="344" spans="1:20">
      <c r="A344" s="110" t="s">
        <v>44</v>
      </c>
      <c r="B344" s="110" t="s">
        <v>109</v>
      </c>
      <c r="C344" s="110">
        <v>12700</v>
      </c>
      <c r="D344" s="110">
        <v>24.95599</v>
      </c>
      <c r="E344" s="110">
        <v>7142</v>
      </c>
      <c r="F344" s="110">
        <v>322.33999999999997</v>
      </c>
      <c r="G344" s="110">
        <v>0.80310040469790345</v>
      </c>
      <c r="H344" s="110">
        <v>1.6107850666188304</v>
      </c>
      <c r="I344" s="110">
        <v>22534.719999999998</v>
      </c>
      <c r="J344" s="110">
        <v>423.73480000000001</v>
      </c>
      <c r="K344" s="110">
        <v>0.91877130475618651</v>
      </c>
      <c r="L344" s="110">
        <v>1.5084425731543316</v>
      </c>
      <c r="M344" s="110"/>
      <c r="N344" s="110"/>
      <c r="O344" s="110"/>
      <c r="P344" s="110">
        <v>47.877580000000002</v>
      </c>
      <c r="Q344" s="110"/>
      <c r="R344" s="110"/>
      <c r="S344" s="110"/>
      <c r="T344" s="110"/>
    </row>
    <row r="345" spans="1:20">
      <c r="A345" s="110" t="s">
        <v>44</v>
      </c>
      <c r="B345" s="110" t="s">
        <v>109</v>
      </c>
      <c r="C345" s="110">
        <v>12700</v>
      </c>
      <c r="D345" s="110">
        <v>24.95599</v>
      </c>
      <c r="E345" s="110">
        <v>7142</v>
      </c>
      <c r="F345" s="110">
        <v>322.33999999999997</v>
      </c>
      <c r="G345" s="110">
        <v>0.80310040469790345</v>
      </c>
      <c r="H345" s="110">
        <v>1.6107850666188304</v>
      </c>
      <c r="I345" s="110">
        <v>22317.68</v>
      </c>
      <c r="J345" s="110">
        <v>422.41269999999997</v>
      </c>
      <c r="K345" s="110">
        <v>0.91683391699821859</v>
      </c>
      <c r="L345" s="110">
        <v>1.5096727485179124</v>
      </c>
      <c r="M345" s="110"/>
      <c r="N345" s="110"/>
      <c r="O345" s="110"/>
      <c r="P345" s="110">
        <v>50.41713</v>
      </c>
      <c r="Q345" s="110"/>
      <c r="R345" s="110"/>
      <c r="S345" s="110"/>
      <c r="T345" s="110"/>
    </row>
    <row r="346" spans="1:20">
      <c r="A346" s="110" t="s">
        <v>44</v>
      </c>
      <c r="B346" s="110" t="s">
        <v>109</v>
      </c>
      <c r="C346" s="110">
        <v>12700</v>
      </c>
      <c r="D346" s="110">
        <v>24.95599</v>
      </c>
      <c r="E346" s="110">
        <v>7142</v>
      </c>
      <c r="F346" s="110">
        <v>322.33999999999997</v>
      </c>
      <c r="G346" s="110">
        <v>0.80310040469790345</v>
      </c>
      <c r="H346" s="110">
        <v>1.6107850666188304</v>
      </c>
      <c r="I346" s="110">
        <v>22303.11</v>
      </c>
      <c r="J346" s="110">
        <v>422.32819999999998</v>
      </c>
      <c r="K346" s="110">
        <v>0.91670305499482985</v>
      </c>
      <c r="L346" s="110">
        <v>1.5097790150266677</v>
      </c>
      <c r="M346" s="110"/>
      <c r="N346" s="110"/>
      <c r="O346" s="110"/>
      <c r="P346" s="110">
        <v>50.575200000000002</v>
      </c>
      <c r="Q346" s="110"/>
      <c r="R346" s="110"/>
      <c r="S346" s="110"/>
      <c r="T346" s="110"/>
    </row>
    <row r="347" spans="1:20">
      <c r="A347" s="110" t="s">
        <v>44</v>
      </c>
      <c r="B347" s="110" t="s">
        <v>109</v>
      </c>
      <c r="C347" s="110">
        <v>12700</v>
      </c>
      <c r="D347" s="110">
        <v>24.95599</v>
      </c>
      <c r="E347" s="110">
        <v>7142</v>
      </c>
      <c r="F347" s="110">
        <v>322.33999999999997</v>
      </c>
      <c r="G347" s="110">
        <v>0.80310040469790345</v>
      </c>
      <c r="H347" s="110">
        <v>1.6107850666188304</v>
      </c>
      <c r="I347" s="110">
        <v>21846.77</v>
      </c>
      <c r="J347" s="110">
        <v>419.85129999999998</v>
      </c>
      <c r="K347" s="110">
        <v>0.91242083576150046</v>
      </c>
      <c r="L347" s="110">
        <v>1.5123348138463679</v>
      </c>
      <c r="M347" s="110"/>
      <c r="N347" s="110"/>
      <c r="O347" s="110"/>
      <c r="P347" s="110">
        <v>54.875459999999997</v>
      </c>
      <c r="Q347" s="110"/>
      <c r="R347" s="110"/>
      <c r="S347" s="110"/>
      <c r="T347" s="110"/>
    </row>
    <row r="348" spans="1:20">
      <c r="A348" s="110" t="s">
        <v>44</v>
      </c>
      <c r="B348" s="110" t="s">
        <v>109</v>
      </c>
      <c r="C348" s="110">
        <v>12700</v>
      </c>
      <c r="D348" s="110">
        <v>24.95599</v>
      </c>
      <c r="E348" s="110">
        <v>7142</v>
      </c>
      <c r="F348" s="110">
        <v>322.33999999999997</v>
      </c>
      <c r="G348" s="110">
        <v>0.80310040469790345</v>
      </c>
      <c r="H348" s="110">
        <v>1.6107850666188304</v>
      </c>
      <c r="I348" s="110">
        <v>21144.23</v>
      </c>
      <c r="J348" s="110">
        <v>416.50670000000002</v>
      </c>
      <c r="K348" s="110">
        <v>0.90492868876308175</v>
      </c>
      <c r="L348" s="110">
        <v>1.5137867336691815</v>
      </c>
      <c r="M348" s="110"/>
      <c r="N348" s="110"/>
      <c r="O348" s="110"/>
      <c r="P348" s="110">
        <v>60.459879999999998</v>
      </c>
      <c r="Q348" s="110"/>
      <c r="R348" s="110"/>
      <c r="S348" s="110"/>
      <c r="T348" s="110"/>
    </row>
    <row r="349" spans="1:20">
      <c r="A349" s="110" t="s">
        <v>44</v>
      </c>
      <c r="B349" s="110" t="s">
        <v>109</v>
      </c>
      <c r="C349" s="110">
        <v>12700</v>
      </c>
      <c r="D349" s="110">
        <v>24.95599</v>
      </c>
      <c r="E349" s="110">
        <v>7142</v>
      </c>
      <c r="F349" s="110">
        <v>322.33999999999997</v>
      </c>
      <c r="G349" s="110">
        <v>0.80310040469790345</v>
      </c>
      <c r="H349" s="110">
        <v>1.6107850666188304</v>
      </c>
      <c r="I349" s="110">
        <v>20382.939999999999</v>
      </c>
      <c r="J349" s="110">
        <v>413.38630000000001</v>
      </c>
      <c r="K349" s="110">
        <v>0.89630343076596042</v>
      </c>
      <c r="L349" s="110">
        <v>1.5253029041076605</v>
      </c>
      <c r="M349" s="110"/>
      <c r="N349" s="110"/>
      <c r="O349" s="110"/>
      <c r="P349" s="110">
        <v>65.013080000000002</v>
      </c>
      <c r="Q349" s="110"/>
      <c r="R349" s="110"/>
      <c r="S349" s="110"/>
      <c r="T349" s="110"/>
    </row>
    <row r="350" spans="1:20">
      <c r="A350" s="110" t="s">
        <v>44</v>
      </c>
      <c r="B350" s="110" t="s">
        <v>109</v>
      </c>
      <c r="C350" s="110">
        <v>12700</v>
      </c>
      <c r="D350" s="110">
        <v>24.95599</v>
      </c>
      <c r="E350" s="110">
        <v>7142</v>
      </c>
      <c r="F350" s="110">
        <v>322.33999999999997</v>
      </c>
      <c r="G350" s="110">
        <v>0.80310040469790345</v>
      </c>
      <c r="H350" s="110">
        <v>1.6107850666188304</v>
      </c>
      <c r="I350" s="110">
        <v>19375.52</v>
      </c>
      <c r="J350" s="110">
        <v>409.57279999999997</v>
      </c>
      <c r="K350" s="110">
        <v>0.89102034684865483</v>
      </c>
      <c r="L350" s="110">
        <v>1.5247320827825122</v>
      </c>
      <c r="M350" s="110"/>
      <c r="N350" s="110"/>
      <c r="O350" s="110"/>
      <c r="P350" s="110">
        <v>69.633840000000006</v>
      </c>
      <c r="Q350" s="110"/>
      <c r="R350" s="110"/>
      <c r="S350" s="110"/>
      <c r="T350" s="110"/>
    </row>
    <row r="351" spans="1:20">
      <c r="A351" s="110" t="s">
        <v>44</v>
      </c>
      <c r="B351" s="110" t="s">
        <v>109</v>
      </c>
      <c r="C351" s="110">
        <v>12700</v>
      </c>
      <c r="D351" s="110">
        <v>24.95599</v>
      </c>
      <c r="E351" s="110">
        <v>7142</v>
      </c>
      <c r="F351" s="110">
        <v>322.33999999999997</v>
      </c>
      <c r="G351" s="110">
        <v>0.80310040469790345</v>
      </c>
      <c r="H351" s="110">
        <v>1.6107850666188304</v>
      </c>
      <c r="I351" s="110">
        <v>19215.330000000002</v>
      </c>
      <c r="J351" s="110">
        <v>408.98349999999999</v>
      </c>
      <c r="K351" s="110">
        <v>0.88976832040654696</v>
      </c>
      <c r="L351" s="110">
        <v>1.5244304443685734</v>
      </c>
      <c r="M351" s="110"/>
      <c r="N351" s="110"/>
      <c r="O351" s="110"/>
      <c r="P351" s="110">
        <v>70.271500000000003</v>
      </c>
      <c r="Q351" s="110"/>
      <c r="R351" s="110"/>
      <c r="S351" s="110"/>
      <c r="T351" s="110"/>
    </row>
    <row r="352" spans="1:20">
      <c r="A352" s="110" t="s">
        <v>44</v>
      </c>
      <c r="B352" s="110" t="s">
        <v>109</v>
      </c>
      <c r="C352" s="110">
        <v>12700</v>
      </c>
      <c r="D352" s="110">
        <v>24.95599</v>
      </c>
      <c r="E352" s="110">
        <v>7142</v>
      </c>
      <c r="F352" s="110">
        <v>322.33999999999997</v>
      </c>
      <c r="G352" s="110">
        <v>0.80310040469790345</v>
      </c>
      <c r="H352" s="110">
        <v>1.6107850666188304</v>
      </c>
      <c r="I352" s="110">
        <v>19212.309999999998</v>
      </c>
      <c r="J352" s="110">
        <v>408.97239999999999</v>
      </c>
      <c r="K352" s="110">
        <v>0.88974358512342322</v>
      </c>
      <c r="L352" s="110">
        <v>1.5244243330104297</v>
      </c>
      <c r="M352" s="110"/>
      <c r="N352" s="110"/>
      <c r="O352" s="110"/>
      <c r="P352" s="110">
        <v>70.28295</v>
      </c>
      <c r="Q352" s="110"/>
      <c r="R352" s="110"/>
      <c r="S352" s="110"/>
      <c r="T352" s="110"/>
    </row>
    <row r="353" spans="1:20">
      <c r="A353" s="110" t="s">
        <v>44</v>
      </c>
      <c r="B353" s="110" t="s">
        <v>109</v>
      </c>
      <c r="C353" s="110">
        <v>12700</v>
      </c>
      <c r="D353" s="110">
        <v>24.95599</v>
      </c>
      <c r="E353" s="110">
        <v>7142</v>
      </c>
      <c r="F353" s="110">
        <v>322.33999999999997</v>
      </c>
      <c r="G353" s="110">
        <v>0.80310040469790345</v>
      </c>
      <c r="H353" s="110">
        <v>1.6107850666188304</v>
      </c>
      <c r="I353" s="110">
        <v>18544.98</v>
      </c>
      <c r="J353" s="110">
        <v>406.59570000000002</v>
      </c>
      <c r="K353" s="110">
        <v>0.8833637708220462</v>
      </c>
      <c r="L353" s="110">
        <v>1.5231701576345689</v>
      </c>
      <c r="M353" s="110"/>
      <c r="N353" s="110"/>
      <c r="O353" s="110"/>
      <c r="P353" s="110">
        <v>72.525790000000001</v>
      </c>
      <c r="Q353" s="110"/>
      <c r="R353" s="110"/>
      <c r="S353" s="110"/>
      <c r="T353" s="110"/>
    </row>
    <row r="354" spans="1:20">
      <c r="A354" s="110" t="s">
        <v>44</v>
      </c>
      <c r="B354" s="110" t="s">
        <v>109</v>
      </c>
      <c r="C354" s="110">
        <v>12700</v>
      </c>
      <c r="D354" s="110">
        <v>24.95599</v>
      </c>
      <c r="E354" s="110">
        <v>7142</v>
      </c>
      <c r="F354" s="110">
        <v>322.33999999999997</v>
      </c>
      <c r="G354" s="110">
        <v>0.80310040469790345</v>
      </c>
      <c r="H354" s="110">
        <v>1.6107850666188304</v>
      </c>
      <c r="I354" s="110">
        <v>17522.559999999998</v>
      </c>
      <c r="J354" s="110">
        <v>403.04340000000002</v>
      </c>
      <c r="K354" s="110">
        <v>0.87895265835531533</v>
      </c>
      <c r="L354" s="110">
        <v>1.5309905900076921</v>
      </c>
      <c r="M354" s="110"/>
      <c r="N354" s="110"/>
      <c r="O354" s="110"/>
      <c r="P354" s="110">
        <v>75.341769999999997</v>
      </c>
      <c r="Q354" s="110"/>
      <c r="R354" s="110"/>
      <c r="S354" s="110"/>
      <c r="T354" s="110"/>
    </row>
    <row r="355" spans="1:20">
      <c r="A355" s="110" t="s">
        <v>44</v>
      </c>
      <c r="B355" s="110" t="s">
        <v>109</v>
      </c>
      <c r="C355" s="110">
        <v>12700</v>
      </c>
      <c r="D355" s="110">
        <v>24.95599</v>
      </c>
      <c r="E355" s="110">
        <v>7142</v>
      </c>
      <c r="F355" s="110">
        <v>322.33999999999997</v>
      </c>
      <c r="G355" s="110">
        <v>0.80310040469790345</v>
      </c>
      <c r="H355" s="110">
        <v>1.6107850666188304</v>
      </c>
      <c r="I355" s="110">
        <v>16941.739999999998</v>
      </c>
      <c r="J355" s="110">
        <v>401.06670000000003</v>
      </c>
      <c r="K355" s="110">
        <v>0.8753554140962333</v>
      </c>
      <c r="L355" s="110">
        <v>1.5295229950148026</v>
      </c>
      <c r="M355" s="110"/>
      <c r="N355" s="110"/>
      <c r="O355" s="110"/>
      <c r="P355" s="110">
        <v>76.611729999999994</v>
      </c>
      <c r="Q355" s="110"/>
      <c r="R355" s="110"/>
      <c r="S355" s="110"/>
      <c r="T355" s="110"/>
    </row>
    <row r="356" spans="1:20">
      <c r="A356" s="110" t="s">
        <v>44</v>
      </c>
      <c r="B356" s="110" t="s">
        <v>109</v>
      </c>
      <c r="C356" s="110">
        <v>12700</v>
      </c>
      <c r="D356" s="110">
        <v>24.95599</v>
      </c>
      <c r="E356" s="110">
        <v>7142</v>
      </c>
      <c r="F356" s="110">
        <v>322.33999999999997</v>
      </c>
      <c r="G356" s="110">
        <v>0.80310040469790345</v>
      </c>
      <c r="H356" s="110">
        <v>1.6107850666188304</v>
      </c>
      <c r="I356" s="110">
        <v>15810.929999999998</v>
      </c>
      <c r="J356" s="110">
        <v>397.25990000000002</v>
      </c>
      <c r="K356" s="110">
        <v>0.87050717079365914</v>
      </c>
      <c r="L356" s="110">
        <v>1.5262664922580975</v>
      </c>
      <c r="M356" s="110"/>
      <c r="N356" s="110"/>
      <c r="O356" s="110"/>
      <c r="P356" s="110">
        <v>78.422210000000007</v>
      </c>
      <c r="Q356" s="110"/>
      <c r="R356" s="110"/>
      <c r="S356" s="110"/>
      <c r="T356" s="110"/>
    </row>
    <row r="357" spans="1:20">
      <c r="A357" s="110" t="s">
        <v>44</v>
      </c>
      <c r="B357" s="110" t="s">
        <v>109</v>
      </c>
      <c r="C357" s="110">
        <v>12700</v>
      </c>
      <c r="D357" s="110">
        <v>24.95599</v>
      </c>
      <c r="E357" s="110">
        <v>7142</v>
      </c>
      <c r="F357" s="110">
        <v>322.33999999999997</v>
      </c>
      <c r="G357" s="110">
        <v>0.80310040469790345</v>
      </c>
      <c r="H357" s="110">
        <v>1.6107850666188304</v>
      </c>
      <c r="I357" s="110">
        <v>15377.57</v>
      </c>
      <c r="J357" s="110">
        <v>395.78120000000001</v>
      </c>
      <c r="K357" s="110">
        <v>0.86921810341830774</v>
      </c>
      <c r="L357" s="110">
        <v>1.5256391825840447</v>
      </c>
      <c r="M357" s="110"/>
      <c r="N357" s="110"/>
      <c r="O357" s="110"/>
      <c r="P357" s="110">
        <v>79.015270000000001</v>
      </c>
      <c r="Q357" s="110"/>
      <c r="R357" s="110"/>
      <c r="S357" s="110"/>
      <c r="T357" s="110"/>
    </row>
    <row r="358" spans="1:20">
      <c r="A358" s="110" t="s">
        <v>44</v>
      </c>
      <c r="B358" s="110" t="s">
        <v>109</v>
      </c>
      <c r="C358" s="110">
        <v>12700</v>
      </c>
      <c r="D358" s="110">
        <v>24.95599</v>
      </c>
      <c r="E358" s="110">
        <v>7142</v>
      </c>
      <c r="F358" s="110">
        <v>322.33999999999997</v>
      </c>
      <c r="G358" s="110">
        <v>0.80310040469790345</v>
      </c>
      <c r="H358" s="110">
        <v>1.6107850666188304</v>
      </c>
      <c r="I358" s="110">
        <v>14457.44</v>
      </c>
      <c r="J358" s="110">
        <v>392.51690000000002</v>
      </c>
      <c r="K358" s="110">
        <v>0.86446238802295949</v>
      </c>
      <c r="L358" s="110">
        <v>1.5161873853142784</v>
      </c>
      <c r="M358" s="110"/>
      <c r="N358" s="110"/>
      <c r="O358" s="110"/>
      <c r="P358" s="110">
        <v>80.203220000000002</v>
      </c>
      <c r="Q358" s="110"/>
      <c r="R358" s="110"/>
      <c r="S358" s="110"/>
      <c r="T358" s="110"/>
    </row>
    <row r="359" spans="1:20">
      <c r="A359" s="110" t="s">
        <v>44</v>
      </c>
      <c r="B359" s="110" t="s">
        <v>109</v>
      </c>
      <c r="C359" s="110">
        <v>12700</v>
      </c>
      <c r="D359" s="110">
        <v>24.95599</v>
      </c>
      <c r="E359" s="110">
        <v>7142</v>
      </c>
      <c r="F359" s="110">
        <v>322.33999999999997</v>
      </c>
      <c r="G359" s="110">
        <v>0.80310040469790345</v>
      </c>
      <c r="H359" s="110">
        <v>1.6107850666188304</v>
      </c>
      <c r="I359" s="110">
        <v>13852.43</v>
      </c>
      <c r="J359" s="110">
        <v>390.33569999999997</v>
      </c>
      <c r="K359" s="110">
        <v>0.86475147569870092</v>
      </c>
      <c r="L359" s="110">
        <v>1.5194941789821672</v>
      </c>
      <c r="M359" s="110"/>
      <c r="N359" s="110"/>
      <c r="O359" s="110"/>
      <c r="P359" s="110">
        <v>80.8767</v>
      </c>
      <c r="Q359" s="110"/>
      <c r="R359" s="110"/>
      <c r="S359" s="110"/>
      <c r="T359" s="110"/>
    </row>
    <row r="360" spans="1:20">
      <c r="A360" s="110" t="s">
        <v>44</v>
      </c>
      <c r="B360" s="110" t="s">
        <v>109</v>
      </c>
      <c r="C360" s="110">
        <v>12700</v>
      </c>
      <c r="D360" s="110">
        <v>24.95599</v>
      </c>
      <c r="E360" s="110">
        <v>7142</v>
      </c>
      <c r="F360" s="110">
        <v>322.33999999999997</v>
      </c>
      <c r="G360" s="110">
        <v>0.80310040469790345</v>
      </c>
      <c r="H360" s="110">
        <v>1.6107850666188304</v>
      </c>
      <c r="I360" s="110">
        <v>12826.150000000001</v>
      </c>
      <c r="J360" s="110">
        <v>386.50130000000001</v>
      </c>
      <c r="K360" s="110">
        <v>0.86205984216915388</v>
      </c>
      <c r="L360" s="110">
        <v>1.5058115849529981</v>
      </c>
      <c r="M360" s="110"/>
      <c r="N360" s="110"/>
      <c r="O360" s="110"/>
      <c r="P360" s="110">
        <v>81.842309999999998</v>
      </c>
      <c r="Q360" s="110"/>
      <c r="R360" s="110"/>
      <c r="S360" s="110"/>
      <c r="T360" s="110"/>
    </row>
    <row r="361" spans="1:20">
      <c r="A361" s="110" t="s">
        <v>44</v>
      </c>
      <c r="B361" s="110" t="s">
        <v>109</v>
      </c>
      <c r="C361" s="110">
        <v>12065</v>
      </c>
      <c r="D361" s="110">
        <v>24.95599</v>
      </c>
      <c r="E361" s="110">
        <v>7142</v>
      </c>
      <c r="F361" s="110">
        <v>322.33999999999997</v>
      </c>
      <c r="G361" s="110">
        <v>0.80310040469790345</v>
      </c>
      <c r="H361" s="110">
        <v>1.6107850666188304</v>
      </c>
      <c r="I361" s="110">
        <v>20646.7</v>
      </c>
      <c r="J361" s="110">
        <v>416.34410000000003</v>
      </c>
      <c r="K361" s="110">
        <v>0.90172202586797001</v>
      </c>
      <c r="L361" s="110">
        <v>1.5060123937840288</v>
      </c>
      <c r="M361" s="110"/>
      <c r="N361" s="110"/>
      <c r="O361" s="110"/>
      <c r="P361" s="110">
        <v>42.465519999999998</v>
      </c>
      <c r="Q361" s="110"/>
      <c r="R361" s="110"/>
      <c r="S361" s="110"/>
      <c r="T361" s="110"/>
    </row>
    <row r="362" spans="1:20">
      <c r="A362" s="110" t="s">
        <v>44</v>
      </c>
      <c r="B362" s="110" t="s">
        <v>109</v>
      </c>
      <c r="C362" s="110">
        <v>12065</v>
      </c>
      <c r="D362" s="110">
        <v>24.95599</v>
      </c>
      <c r="E362" s="110">
        <v>7142</v>
      </c>
      <c r="F362" s="110">
        <v>322.33999999999997</v>
      </c>
      <c r="G362" s="110">
        <v>0.80310040469790345</v>
      </c>
      <c r="H362" s="110">
        <v>1.6107850666188304</v>
      </c>
      <c r="I362" s="110">
        <v>20594.55</v>
      </c>
      <c r="J362" s="110">
        <v>415.9341</v>
      </c>
      <c r="K362" s="110">
        <v>0.90076247889459216</v>
      </c>
      <c r="L362" s="110">
        <v>1.5066288239610761</v>
      </c>
      <c r="M362" s="110"/>
      <c r="N362" s="110"/>
      <c r="O362" s="110"/>
      <c r="P362" s="110">
        <v>43.281759999999998</v>
      </c>
      <c r="Q362" s="110"/>
      <c r="R362" s="110"/>
      <c r="S362" s="110"/>
      <c r="T362" s="110"/>
    </row>
    <row r="363" spans="1:20">
      <c r="A363" s="110" t="s">
        <v>44</v>
      </c>
      <c r="B363" s="110" t="s">
        <v>109</v>
      </c>
      <c r="C363" s="110">
        <v>12065</v>
      </c>
      <c r="D363" s="110">
        <v>24.95599</v>
      </c>
      <c r="E363" s="110">
        <v>7142</v>
      </c>
      <c r="F363" s="110">
        <v>322.33999999999997</v>
      </c>
      <c r="G363" s="110">
        <v>0.80310040469790345</v>
      </c>
      <c r="H363" s="110">
        <v>1.6107850666188304</v>
      </c>
      <c r="I363" s="110">
        <v>20578.620000000003</v>
      </c>
      <c r="J363" s="110">
        <v>415.81709999999998</v>
      </c>
      <c r="K363" s="110">
        <v>0.90047921534488007</v>
      </c>
      <c r="L363" s="110">
        <v>1.5067848395581733</v>
      </c>
      <c r="M363" s="110"/>
      <c r="N363" s="110"/>
      <c r="O363" s="110"/>
      <c r="P363" s="110">
        <v>43.511580000000002</v>
      </c>
      <c r="Q363" s="110"/>
      <c r="R363" s="110"/>
      <c r="S363" s="110"/>
      <c r="T363" s="110"/>
    </row>
    <row r="364" spans="1:20">
      <c r="A364" s="110" t="s">
        <v>44</v>
      </c>
      <c r="B364" s="110" t="s">
        <v>109</v>
      </c>
      <c r="C364" s="110">
        <v>12065</v>
      </c>
      <c r="D364" s="110">
        <v>24.95599</v>
      </c>
      <c r="E364" s="110">
        <v>7142</v>
      </c>
      <c r="F364" s="110">
        <v>322.33999999999997</v>
      </c>
      <c r="G364" s="110">
        <v>0.80310040469790345</v>
      </c>
      <c r="H364" s="110">
        <v>1.6107850666188304</v>
      </c>
      <c r="I364" s="110">
        <v>20371.629999999997</v>
      </c>
      <c r="J364" s="110">
        <v>414.39839999999998</v>
      </c>
      <c r="K364" s="110">
        <v>0.89789776611984573</v>
      </c>
      <c r="L364" s="110">
        <v>1.5223989687475166</v>
      </c>
      <c r="M364" s="110"/>
      <c r="N364" s="110"/>
      <c r="O364" s="110"/>
      <c r="P364" s="110">
        <v>46.205170000000003</v>
      </c>
      <c r="Q364" s="110"/>
      <c r="R364" s="110"/>
      <c r="S364" s="110"/>
      <c r="T364" s="110"/>
    </row>
    <row r="365" spans="1:20">
      <c r="A365" s="110" t="s">
        <v>44</v>
      </c>
      <c r="B365" s="110" t="s">
        <v>109</v>
      </c>
      <c r="C365" s="110">
        <v>12065</v>
      </c>
      <c r="D365" s="110">
        <v>24.95599</v>
      </c>
      <c r="E365" s="110">
        <v>7142</v>
      </c>
      <c r="F365" s="110">
        <v>322.33999999999997</v>
      </c>
      <c r="G365" s="110">
        <v>0.80310040469790345</v>
      </c>
      <c r="H365" s="110">
        <v>1.6107850666188304</v>
      </c>
      <c r="I365" s="110">
        <v>19942.509999999998</v>
      </c>
      <c r="J365" s="110">
        <v>411.86340000000001</v>
      </c>
      <c r="K365" s="110">
        <v>0.89480755819348246</v>
      </c>
      <c r="L365" s="110">
        <v>1.5246104251404429</v>
      </c>
      <c r="M365" s="110"/>
      <c r="N365" s="110"/>
      <c r="O365" s="110"/>
      <c r="P365" s="110">
        <v>50.468730000000001</v>
      </c>
      <c r="Q365" s="110"/>
      <c r="R365" s="110"/>
      <c r="S365" s="110"/>
      <c r="T365" s="110"/>
    </row>
    <row r="366" spans="1:20">
      <c r="A366" s="110" t="s">
        <v>44</v>
      </c>
      <c r="B366" s="110" t="s">
        <v>109</v>
      </c>
      <c r="C366" s="110">
        <v>12065</v>
      </c>
      <c r="D366" s="110">
        <v>24.95599</v>
      </c>
      <c r="E366" s="110">
        <v>7142</v>
      </c>
      <c r="F366" s="110">
        <v>322.33999999999997</v>
      </c>
      <c r="G366" s="110">
        <v>0.80310040469790345</v>
      </c>
      <c r="H366" s="110">
        <v>1.6107850666188304</v>
      </c>
      <c r="I366" s="110">
        <v>19293.940000000002</v>
      </c>
      <c r="J366" s="110">
        <v>408.54559999999998</v>
      </c>
      <c r="K366" s="110">
        <v>0.88924791027866423</v>
      </c>
      <c r="L366" s="110">
        <v>1.5277485234842434</v>
      </c>
      <c r="M366" s="110"/>
      <c r="N366" s="110"/>
      <c r="O366" s="110"/>
      <c r="P366" s="110">
        <v>55.966009999999997</v>
      </c>
      <c r="Q366" s="110"/>
      <c r="R366" s="110"/>
      <c r="S366" s="110"/>
      <c r="T366" s="110"/>
    </row>
    <row r="367" spans="1:20">
      <c r="A367" s="110" t="s">
        <v>44</v>
      </c>
      <c r="B367" s="110" t="s">
        <v>109</v>
      </c>
      <c r="C367" s="110">
        <v>12065</v>
      </c>
      <c r="D367" s="110">
        <v>24.95599</v>
      </c>
      <c r="E367" s="110">
        <v>7142</v>
      </c>
      <c r="F367" s="110">
        <v>322.33999999999997</v>
      </c>
      <c r="G367" s="110">
        <v>0.80310040469790345</v>
      </c>
      <c r="H367" s="110">
        <v>1.6107850666188304</v>
      </c>
      <c r="I367" s="110">
        <v>19127.02</v>
      </c>
      <c r="J367" s="110">
        <v>407.7602</v>
      </c>
      <c r="K367" s="110">
        <v>0.8876020789974961</v>
      </c>
      <c r="L367" s="110">
        <v>1.5281694999090782</v>
      </c>
      <c r="M367" s="110"/>
      <c r="N367" s="110"/>
      <c r="O367" s="110"/>
      <c r="P367" s="110">
        <v>57.158580000000001</v>
      </c>
      <c r="Q367" s="110"/>
      <c r="R367" s="110"/>
      <c r="S367" s="110"/>
      <c r="T367" s="110"/>
    </row>
    <row r="368" spans="1:20">
      <c r="A368" s="110" t="s">
        <v>44</v>
      </c>
      <c r="B368" s="110" t="s">
        <v>109</v>
      </c>
      <c r="C368" s="110">
        <v>12065</v>
      </c>
      <c r="D368" s="110">
        <v>24.95599</v>
      </c>
      <c r="E368" s="110">
        <v>7142</v>
      </c>
      <c r="F368" s="110">
        <v>322.33999999999997</v>
      </c>
      <c r="G368" s="110">
        <v>0.80310040469790345</v>
      </c>
      <c r="H368" s="110">
        <v>1.6107850666188304</v>
      </c>
      <c r="I368" s="110">
        <v>18929.87</v>
      </c>
      <c r="J368" s="110">
        <v>406.87240000000003</v>
      </c>
      <c r="K368" s="110">
        <v>0.88555339634598484</v>
      </c>
      <c r="L368" s="110">
        <v>1.5284403563721403</v>
      </c>
      <c r="M368" s="110"/>
      <c r="N368" s="110"/>
      <c r="O368" s="110"/>
      <c r="P368" s="110">
        <v>58.431040000000003</v>
      </c>
      <c r="Q368" s="110"/>
      <c r="R368" s="110"/>
      <c r="S368" s="110"/>
      <c r="T368" s="110"/>
    </row>
    <row r="369" spans="1:20">
      <c r="A369" s="110" t="s">
        <v>44</v>
      </c>
      <c r="B369" s="110" t="s">
        <v>109</v>
      </c>
      <c r="C369" s="110">
        <v>12065</v>
      </c>
      <c r="D369" s="110">
        <v>24.95599</v>
      </c>
      <c r="E369" s="110">
        <v>7142</v>
      </c>
      <c r="F369" s="110">
        <v>322.33999999999997</v>
      </c>
      <c r="G369" s="110">
        <v>0.80310040469790345</v>
      </c>
      <c r="H369" s="110">
        <v>1.6107850666188304</v>
      </c>
      <c r="I369" s="110">
        <v>18425.88</v>
      </c>
      <c r="J369" s="110">
        <v>404.73489999999998</v>
      </c>
      <c r="K369" s="110">
        <v>0.87966199842843806</v>
      </c>
      <c r="L369" s="110">
        <v>1.5280840427980416</v>
      </c>
      <c r="M369" s="110"/>
      <c r="N369" s="110"/>
      <c r="O369" s="110"/>
      <c r="P369" s="110">
        <v>61.202019999999997</v>
      </c>
      <c r="Q369" s="110"/>
      <c r="R369" s="110"/>
      <c r="S369" s="110"/>
      <c r="T369" s="110"/>
    </row>
    <row r="370" spans="1:20">
      <c r="A370" s="110" t="s">
        <v>44</v>
      </c>
      <c r="B370" s="110" t="s">
        <v>109</v>
      </c>
      <c r="C370" s="110">
        <v>12065</v>
      </c>
      <c r="D370" s="110">
        <v>24.95599</v>
      </c>
      <c r="E370" s="110">
        <v>7142</v>
      </c>
      <c r="F370" s="110">
        <v>322.33999999999997</v>
      </c>
      <c r="G370" s="110">
        <v>0.80310040469790345</v>
      </c>
      <c r="H370" s="110">
        <v>1.6107850666188304</v>
      </c>
      <c r="I370" s="110">
        <v>18210.54</v>
      </c>
      <c r="J370" s="110">
        <v>403.83920000000001</v>
      </c>
      <c r="K370" s="110">
        <v>0.87803465490950772</v>
      </c>
      <c r="L370" s="110">
        <v>1.5364495942895302</v>
      </c>
      <c r="M370" s="110"/>
      <c r="N370" s="110"/>
      <c r="O370" s="110"/>
      <c r="P370" s="110">
        <v>62.32076</v>
      </c>
      <c r="Q370" s="110"/>
      <c r="R370" s="110"/>
      <c r="S370" s="110"/>
      <c r="T370" s="110"/>
    </row>
    <row r="371" spans="1:20">
      <c r="A371" s="110" t="s">
        <v>44</v>
      </c>
      <c r="B371" s="110" t="s">
        <v>109</v>
      </c>
      <c r="C371" s="110">
        <v>12065</v>
      </c>
      <c r="D371" s="110">
        <v>24.95599</v>
      </c>
      <c r="E371" s="110">
        <v>7142</v>
      </c>
      <c r="F371" s="110">
        <v>322.33999999999997</v>
      </c>
      <c r="G371" s="110">
        <v>0.80310040469790345</v>
      </c>
      <c r="H371" s="110">
        <v>1.6107850666188304</v>
      </c>
      <c r="I371" s="110">
        <v>17381.379999999997</v>
      </c>
      <c r="J371" s="110">
        <v>400.48649999999998</v>
      </c>
      <c r="K371" s="110">
        <v>0.87471029543593481</v>
      </c>
      <c r="L371" s="110">
        <v>1.5378825729913137</v>
      </c>
      <c r="M371" s="110"/>
      <c r="N371" s="110"/>
      <c r="O371" s="110"/>
      <c r="P371" s="110">
        <v>66.060910000000007</v>
      </c>
      <c r="Q371" s="110"/>
      <c r="R371" s="110"/>
      <c r="S371" s="110"/>
      <c r="T371" s="110"/>
    </row>
    <row r="372" spans="1:20">
      <c r="A372" s="110" t="s">
        <v>44</v>
      </c>
      <c r="B372" s="110" t="s">
        <v>109</v>
      </c>
      <c r="C372" s="110">
        <v>12065</v>
      </c>
      <c r="D372" s="110">
        <v>24.95599</v>
      </c>
      <c r="E372" s="110">
        <v>7142</v>
      </c>
      <c r="F372" s="110">
        <v>322.33999999999997</v>
      </c>
      <c r="G372" s="110">
        <v>0.80310040469790345</v>
      </c>
      <c r="H372" s="110">
        <v>1.6107850666188304</v>
      </c>
      <c r="I372" s="110">
        <v>16966.990000000002</v>
      </c>
      <c r="J372" s="110">
        <v>398.89359999999999</v>
      </c>
      <c r="K372" s="110">
        <v>0.87168013607899353</v>
      </c>
      <c r="L372" s="110">
        <v>1.5382516912446953</v>
      </c>
      <c r="M372" s="110"/>
      <c r="N372" s="110"/>
      <c r="O372" s="110"/>
      <c r="P372" s="110">
        <v>67.559970000000007</v>
      </c>
      <c r="Q372" s="110"/>
      <c r="R372" s="110"/>
      <c r="S372" s="110"/>
      <c r="T372" s="110"/>
    </row>
    <row r="373" spans="1:20">
      <c r="A373" s="110" t="s">
        <v>44</v>
      </c>
      <c r="B373" s="110" t="s">
        <v>109</v>
      </c>
      <c r="C373" s="110">
        <v>12065</v>
      </c>
      <c r="D373" s="110">
        <v>24.95599</v>
      </c>
      <c r="E373" s="110">
        <v>7142</v>
      </c>
      <c r="F373" s="110">
        <v>322.33999999999997</v>
      </c>
      <c r="G373" s="110">
        <v>0.80310040469790345</v>
      </c>
      <c r="H373" s="110">
        <v>1.6107850666188304</v>
      </c>
      <c r="I373" s="110">
        <v>16116.16</v>
      </c>
      <c r="J373" s="110">
        <v>395.70010000000002</v>
      </c>
      <c r="K373" s="110">
        <v>0.86611979512381354</v>
      </c>
      <c r="L373" s="110">
        <v>1.5387185096710736</v>
      </c>
      <c r="M373" s="110"/>
      <c r="N373" s="110"/>
      <c r="O373" s="110"/>
      <c r="P373" s="110">
        <v>70.060630000000003</v>
      </c>
      <c r="Q373" s="110"/>
      <c r="R373" s="110"/>
      <c r="S373" s="110"/>
      <c r="T373" s="110"/>
    </row>
    <row r="374" spans="1:20">
      <c r="A374" s="110" t="s">
        <v>44</v>
      </c>
      <c r="B374" s="110" t="s">
        <v>109</v>
      </c>
      <c r="C374" s="110">
        <v>12065</v>
      </c>
      <c r="D374" s="110">
        <v>24.95599</v>
      </c>
      <c r="E374" s="110">
        <v>7142</v>
      </c>
      <c r="F374" s="110">
        <v>322.33999999999997</v>
      </c>
      <c r="G374" s="110">
        <v>0.80310040469790345</v>
      </c>
      <c r="H374" s="110">
        <v>1.6107850666188304</v>
      </c>
      <c r="I374" s="110">
        <v>15690.58</v>
      </c>
      <c r="J374" s="110">
        <v>394.12380000000002</v>
      </c>
      <c r="K374" s="110">
        <v>0.8655481617947508</v>
      </c>
      <c r="L374" s="110">
        <v>1.5388572796116555</v>
      </c>
      <c r="M374" s="110"/>
      <c r="N374" s="110"/>
      <c r="O374" s="110"/>
      <c r="P374" s="110">
        <v>71.113650000000007</v>
      </c>
      <c r="Q374" s="110"/>
      <c r="R374" s="110"/>
      <c r="S374" s="110"/>
      <c r="T374" s="110"/>
    </row>
    <row r="375" spans="1:20">
      <c r="A375" s="110" t="s">
        <v>44</v>
      </c>
      <c r="B375" s="110" t="s">
        <v>109</v>
      </c>
      <c r="C375" s="110">
        <v>12065</v>
      </c>
      <c r="D375" s="110">
        <v>24.95599</v>
      </c>
      <c r="E375" s="110">
        <v>7142</v>
      </c>
      <c r="F375" s="110">
        <v>322.33999999999997</v>
      </c>
      <c r="G375" s="110">
        <v>0.80310040469790345</v>
      </c>
      <c r="H375" s="110">
        <v>1.6107850666188304</v>
      </c>
      <c r="I375" s="110">
        <v>14793.119999999999</v>
      </c>
      <c r="J375" s="110">
        <v>390.8109</v>
      </c>
      <c r="K375" s="110">
        <v>0.85978404280752918</v>
      </c>
      <c r="L375" s="110">
        <v>1.5377503958411598</v>
      </c>
      <c r="M375" s="110"/>
      <c r="N375" s="110"/>
      <c r="O375" s="110"/>
      <c r="P375" s="110">
        <v>72.949709999999996</v>
      </c>
      <c r="Q375" s="110"/>
      <c r="R375" s="110"/>
      <c r="S375" s="110"/>
      <c r="T375" s="110"/>
    </row>
    <row r="376" spans="1:20">
      <c r="A376" s="110" t="s">
        <v>44</v>
      </c>
      <c r="B376" s="110" t="s">
        <v>109</v>
      </c>
      <c r="C376" s="110">
        <v>12065</v>
      </c>
      <c r="D376" s="110">
        <v>24.95599</v>
      </c>
      <c r="E376" s="110">
        <v>7142</v>
      </c>
      <c r="F376" s="110">
        <v>322.33999999999997</v>
      </c>
      <c r="G376" s="110">
        <v>0.80310040469790345</v>
      </c>
      <c r="H376" s="110">
        <v>1.6107850666188304</v>
      </c>
      <c r="I376" s="110">
        <v>14317.98</v>
      </c>
      <c r="J376" s="110">
        <v>389.06060000000002</v>
      </c>
      <c r="K376" s="110">
        <v>0.85949124946190258</v>
      </c>
      <c r="L376" s="110">
        <v>1.5294298344158053</v>
      </c>
      <c r="M376" s="110"/>
      <c r="N376" s="110"/>
      <c r="O376" s="110"/>
      <c r="P376" s="110">
        <v>73.714759999999998</v>
      </c>
      <c r="Q376" s="110"/>
      <c r="R376" s="110"/>
      <c r="S376" s="110"/>
      <c r="T376" s="110"/>
    </row>
    <row r="377" spans="1:20">
      <c r="A377" s="110" t="s">
        <v>44</v>
      </c>
      <c r="B377" s="110" t="s">
        <v>109</v>
      </c>
      <c r="C377" s="110">
        <v>12065</v>
      </c>
      <c r="D377" s="110">
        <v>24.95599</v>
      </c>
      <c r="E377" s="110">
        <v>7142</v>
      </c>
      <c r="F377" s="110">
        <v>322.33999999999997</v>
      </c>
      <c r="G377" s="110">
        <v>0.80310040469790345</v>
      </c>
      <c r="H377" s="110">
        <v>1.6107850666188304</v>
      </c>
      <c r="I377" s="110">
        <v>13477.57</v>
      </c>
      <c r="J377" s="110">
        <v>385.89190000000002</v>
      </c>
      <c r="K377" s="110">
        <v>0.85772487902782102</v>
      </c>
      <c r="L377" s="110">
        <v>1.5296263253210287</v>
      </c>
      <c r="M377" s="110"/>
      <c r="N377" s="110"/>
      <c r="O377" s="110"/>
      <c r="P377" s="110">
        <v>74.857569999999996</v>
      </c>
      <c r="Q377" s="110"/>
      <c r="R377" s="110"/>
      <c r="S377" s="110"/>
      <c r="T377" s="110"/>
    </row>
    <row r="378" spans="1:20">
      <c r="A378" s="110" t="s">
        <v>44</v>
      </c>
      <c r="B378" s="110" t="s">
        <v>109</v>
      </c>
      <c r="C378" s="110">
        <v>12065</v>
      </c>
      <c r="D378" s="110">
        <v>24.95599</v>
      </c>
      <c r="E378" s="110">
        <v>7142</v>
      </c>
      <c r="F378" s="110">
        <v>322.33999999999997</v>
      </c>
      <c r="G378" s="110">
        <v>0.80310040469790345</v>
      </c>
      <c r="H378" s="110">
        <v>1.6107850666188304</v>
      </c>
      <c r="I378" s="110">
        <v>13049.94</v>
      </c>
      <c r="J378" s="110">
        <v>384.23899999999998</v>
      </c>
      <c r="K378" s="110">
        <v>0.85521229468815207</v>
      </c>
      <c r="L378" s="110">
        <v>1.519703760109566</v>
      </c>
      <c r="M378" s="110"/>
      <c r="N378" s="110"/>
      <c r="O378" s="110"/>
      <c r="P378" s="110">
        <v>75.395210000000006</v>
      </c>
      <c r="Q378" s="110"/>
      <c r="R378" s="110"/>
      <c r="S378" s="110"/>
      <c r="T378" s="110"/>
    </row>
    <row r="379" spans="1:20">
      <c r="A379" s="110" t="s">
        <v>44</v>
      </c>
      <c r="B379" s="110" t="s">
        <v>109</v>
      </c>
      <c r="C379" s="110">
        <v>12065</v>
      </c>
      <c r="D379" s="110">
        <v>24.95599</v>
      </c>
      <c r="E379" s="110">
        <v>7142</v>
      </c>
      <c r="F379" s="110">
        <v>322.33999999999997</v>
      </c>
      <c r="G379" s="110">
        <v>0.80310040469790345</v>
      </c>
      <c r="H379" s="110">
        <v>1.6107850666188304</v>
      </c>
      <c r="I379" s="110">
        <v>12176.560000000001</v>
      </c>
      <c r="J379" s="110">
        <v>380.77010000000001</v>
      </c>
      <c r="K379" s="110">
        <v>0.85662096649147945</v>
      </c>
      <c r="L379" s="110">
        <v>1.5222415404466283</v>
      </c>
      <c r="M379" s="110"/>
      <c r="N379" s="110"/>
      <c r="O379" s="110"/>
      <c r="P379" s="110">
        <v>76.43929</v>
      </c>
      <c r="Q379" s="110"/>
      <c r="R379" s="110"/>
      <c r="S379" s="110"/>
      <c r="T379" s="110"/>
    </row>
    <row r="380" spans="1:20">
      <c r="A380" s="110" t="s">
        <v>44</v>
      </c>
      <c r="B380" s="110" t="s">
        <v>109</v>
      </c>
      <c r="C380" s="110">
        <v>12065</v>
      </c>
      <c r="D380" s="110">
        <v>24.95599</v>
      </c>
      <c r="E380" s="110">
        <v>7142</v>
      </c>
      <c r="F380" s="110">
        <v>322.33999999999997</v>
      </c>
      <c r="G380" s="110">
        <v>0.80310040469790345</v>
      </c>
      <c r="H380" s="110">
        <v>1.6107850666188304</v>
      </c>
      <c r="I380" s="110">
        <v>11667.7</v>
      </c>
      <c r="J380" s="110">
        <v>378.67610000000002</v>
      </c>
      <c r="K380" s="110">
        <v>0.85425959014687269</v>
      </c>
      <c r="L380" s="110">
        <v>1.5028777969861973</v>
      </c>
      <c r="M380" s="110"/>
      <c r="N380" s="110"/>
      <c r="O380" s="110"/>
      <c r="P380" s="110">
        <v>76.990170000000006</v>
      </c>
      <c r="Q380" s="110"/>
      <c r="R380" s="110"/>
      <c r="S380" s="110"/>
      <c r="T380" s="110"/>
    </row>
    <row r="381" spans="1:20">
      <c r="A381" s="110" t="s">
        <v>44</v>
      </c>
      <c r="B381" s="110" t="s">
        <v>109</v>
      </c>
      <c r="C381" s="110">
        <v>11430</v>
      </c>
      <c r="D381" s="110">
        <v>24.95599</v>
      </c>
      <c r="E381" s="110">
        <v>7142</v>
      </c>
      <c r="F381" s="110">
        <v>322.33999999999997</v>
      </c>
      <c r="G381" s="110">
        <v>0.80310040469790345</v>
      </c>
      <c r="H381" s="110">
        <v>1.6107850666188304</v>
      </c>
      <c r="I381" s="110">
        <v>18857.05</v>
      </c>
      <c r="J381" s="110">
        <v>408.59339999999997</v>
      </c>
      <c r="K381" s="110">
        <v>0.88800772175458587</v>
      </c>
      <c r="L381" s="110">
        <v>1.521857832039476</v>
      </c>
      <c r="M381" s="110"/>
      <c r="N381" s="110"/>
      <c r="O381" s="110"/>
      <c r="P381" s="110">
        <v>38.15934</v>
      </c>
      <c r="Q381" s="110"/>
      <c r="R381" s="110"/>
      <c r="S381" s="110"/>
      <c r="T381" s="110"/>
    </row>
    <row r="382" spans="1:20">
      <c r="A382" s="110" t="s">
        <v>44</v>
      </c>
      <c r="B382" s="110" t="s">
        <v>109</v>
      </c>
      <c r="C382" s="110">
        <v>11430</v>
      </c>
      <c r="D382" s="110">
        <v>24.95599</v>
      </c>
      <c r="E382" s="110">
        <v>7142</v>
      </c>
      <c r="F382" s="110">
        <v>322.33999999999997</v>
      </c>
      <c r="G382" s="110">
        <v>0.80310040469790345</v>
      </c>
      <c r="H382" s="110">
        <v>1.6107850666188304</v>
      </c>
      <c r="I382" s="110">
        <v>18769.41</v>
      </c>
      <c r="J382" s="110">
        <v>407.84879999999998</v>
      </c>
      <c r="K382" s="110">
        <v>0.88645939735626689</v>
      </c>
      <c r="L382" s="110">
        <v>1.5226216668380486</v>
      </c>
      <c r="M382" s="110"/>
      <c r="N382" s="110"/>
      <c r="O382" s="110"/>
      <c r="P382" s="110">
        <v>39.634830000000001</v>
      </c>
      <c r="Q382" s="110"/>
      <c r="R382" s="110"/>
      <c r="S382" s="110"/>
      <c r="T382" s="110"/>
    </row>
    <row r="383" spans="1:20">
      <c r="A383" s="110" t="s">
        <v>44</v>
      </c>
      <c r="B383" s="110" t="s">
        <v>109</v>
      </c>
      <c r="C383" s="110">
        <v>11430</v>
      </c>
      <c r="D383" s="110">
        <v>24.95599</v>
      </c>
      <c r="E383" s="110">
        <v>7142</v>
      </c>
      <c r="F383" s="110">
        <v>322.33999999999997</v>
      </c>
      <c r="G383" s="110">
        <v>0.80310040469790345</v>
      </c>
      <c r="H383" s="110">
        <v>1.6107850666188304</v>
      </c>
      <c r="I383" s="110">
        <v>18677.940000000002</v>
      </c>
      <c r="J383" s="110">
        <v>407.13580000000002</v>
      </c>
      <c r="K383" s="110">
        <v>0.88490457310270021</v>
      </c>
      <c r="L383" s="110">
        <v>1.5232810077448415</v>
      </c>
      <c r="M383" s="110"/>
      <c r="N383" s="110"/>
      <c r="O383" s="110"/>
      <c r="P383" s="110">
        <v>40.995139999999999</v>
      </c>
      <c r="Q383" s="110"/>
      <c r="R383" s="110"/>
      <c r="S383" s="110"/>
      <c r="T383" s="110"/>
    </row>
    <row r="384" spans="1:20">
      <c r="A384" s="110" t="s">
        <v>44</v>
      </c>
      <c r="B384" s="110" t="s">
        <v>109</v>
      </c>
      <c r="C384" s="110">
        <v>11430</v>
      </c>
      <c r="D384" s="110">
        <v>24.95599</v>
      </c>
      <c r="E384" s="110">
        <v>7142</v>
      </c>
      <c r="F384" s="110">
        <v>322.33999999999997</v>
      </c>
      <c r="G384" s="110">
        <v>0.80310040469790345</v>
      </c>
      <c r="H384" s="110">
        <v>1.6107850666188304</v>
      </c>
      <c r="I384" s="110">
        <v>18494.05</v>
      </c>
      <c r="J384" s="110">
        <v>405.81450000000001</v>
      </c>
      <c r="K384" s="110">
        <v>0.88183421745687962</v>
      </c>
      <c r="L384" s="110">
        <v>1.5248477095760082</v>
      </c>
      <c r="M384" s="110"/>
      <c r="N384" s="110"/>
      <c r="O384" s="110"/>
      <c r="P384" s="110">
        <v>43.406230000000001</v>
      </c>
      <c r="Q384" s="110"/>
      <c r="R384" s="110"/>
      <c r="S384" s="110"/>
      <c r="T384" s="110"/>
    </row>
    <row r="385" spans="1:20">
      <c r="A385" s="110" t="s">
        <v>44</v>
      </c>
      <c r="B385" s="110" t="s">
        <v>109</v>
      </c>
      <c r="C385" s="110">
        <v>11430</v>
      </c>
      <c r="D385" s="110">
        <v>24.95599</v>
      </c>
      <c r="E385" s="110">
        <v>7142</v>
      </c>
      <c r="F385" s="110">
        <v>322.33999999999997</v>
      </c>
      <c r="G385" s="110">
        <v>0.80310040469790345</v>
      </c>
      <c r="H385" s="110">
        <v>1.6107850666188304</v>
      </c>
      <c r="I385" s="110">
        <v>18101.98</v>
      </c>
      <c r="J385" s="110">
        <v>403.36200000000002</v>
      </c>
      <c r="K385" s="110">
        <v>0.87776536605636346</v>
      </c>
      <c r="L385" s="110">
        <v>1.5367448589113639</v>
      </c>
      <c r="M385" s="110"/>
      <c r="N385" s="110"/>
      <c r="O385" s="110"/>
      <c r="P385" s="110">
        <v>47.401420000000002</v>
      </c>
      <c r="Q385" s="110"/>
      <c r="R385" s="110"/>
      <c r="S385" s="110"/>
      <c r="T385" s="110"/>
    </row>
    <row r="386" spans="1:20">
      <c r="A386" s="110" t="s">
        <v>44</v>
      </c>
      <c r="B386" s="110" t="s">
        <v>109</v>
      </c>
      <c r="C386" s="110">
        <v>11430</v>
      </c>
      <c r="D386" s="110">
        <v>24.95599</v>
      </c>
      <c r="E386" s="110">
        <v>7142</v>
      </c>
      <c r="F386" s="110">
        <v>322.33999999999997</v>
      </c>
      <c r="G386" s="110">
        <v>0.80310040469790345</v>
      </c>
      <c r="H386" s="110">
        <v>1.6107850666188304</v>
      </c>
      <c r="I386" s="110">
        <v>17924.38</v>
      </c>
      <c r="J386" s="110">
        <v>402.34969999999998</v>
      </c>
      <c r="K386" s="110">
        <v>0.87677786075796116</v>
      </c>
      <c r="L386" s="110">
        <v>1.5377097442233845</v>
      </c>
      <c r="M386" s="110"/>
      <c r="N386" s="110"/>
      <c r="O386" s="110"/>
      <c r="P386" s="110">
        <v>49.090150000000001</v>
      </c>
      <c r="Q386" s="110"/>
      <c r="R386" s="110"/>
      <c r="S386" s="110"/>
      <c r="T386" s="110"/>
    </row>
    <row r="387" spans="1:20">
      <c r="A387" s="110" t="s">
        <v>44</v>
      </c>
      <c r="B387" s="110" t="s">
        <v>109</v>
      </c>
      <c r="C387" s="110">
        <v>11430</v>
      </c>
      <c r="D387" s="110">
        <v>24.95599</v>
      </c>
      <c r="E387" s="110">
        <v>7142</v>
      </c>
      <c r="F387" s="110">
        <v>322.33999999999997</v>
      </c>
      <c r="G387" s="110">
        <v>0.80310040469790345</v>
      </c>
      <c r="H387" s="110">
        <v>1.6107850666188304</v>
      </c>
      <c r="I387" s="110">
        <v>17486.13</v>
      </c>
      <c r="J387" s="110">
        <v>400.06139999999999</v>
      </c>
      <c r="K387" s="110">
        <v>0.87389394521054753</v>
      </c>
      <c r="L387" s="110">
        <v>1.5395713272267411</v>
      </c>
      <c r="M387" s="110"/>
      <c r="N387" s="110"/>
      <c r="O387" s="110"/>
      <c r="P387" s="110">
        <v>52.64293</v>
      </c>
      <c r="Q387" s="110"/>
      <c r="R387" s="110"/>
      <c r="S387" s="110"/>
      <c r="T387" s="110"/>
    </row>
    <row r="388" spans="1:20">
      <c r="A388" s="110" t="s">
        <v>44</v>
      </c>
      <c r="B388" s="110" t="s">
        <v>109</v>
      </c>
      <c r="C388" s="110">
        <v>11430</v>
      </c>
      <c r="D388" s="110">
        <v>24.95599</v>
      </c>
      <c r="E388" s="110">
        <v>7142</v>
      </c>
      <c r="F388" s="110">
        <v>322.33999999999997</v>
      </c>
      <c r="G388" s="110">
        <v>0.80310040469790345</v>
      </c>
      <c r="H388" s="110">
        <v>1.6107850666188304</v>
      </c>
      <c r="I388" s="110">
        <v>17295.2</v>
      </c>
      <c r="J388" s="110">
        <v>399.12689999999998</v>
      </c>
      <c r="K388" s="110">
        <v>0.87238973690291666</v>
      </c>
      <c r="L388" s="110">
        <v>1.5402091927606831</v>
      </c>
      <c r="M388" s="110"/>
      <c r="N388" s="110"/>
      <c r="O388" s="110"/>
      <c r="P388" s="110">
        <v>53.975769999999997</v>
      </c>
      <c r="Q388" s="110"/>
      <c r="R388" s="110"/>
      <c r="S388" s="110"/>
      <c r="T388" s="110"/>
    </row>
    <row r="389" spans="1:20">
      <c r="A389" s="110" t="s">
        <v>44</v>
      </c>
      <c r="B389" s="110" t="s">
        <v>109</v>
      </c>
      <c r="C389" s="110">
        <v>11430</v>
      </c>
      <c r="D389" s="110">
        <v>24.95599</v>
      </c>
      <c r="E389" s="110">
        <v>7142</v>
      </c>
      <c r="F389" s="110">
        <v>322.33999999999997</v>
      </c>
      <c r="G389" s="110">
        <v>0.80310040469790345</v>
      </c>
      <c r="H389" s="110">
        <v>1.6107850666188304</v>
      </c>
      <c r="I389" s="110">
        <v>17238.66</v>
      </c>
      <c r="J389" s="110">
        <v>398.85969999999998</v>
      </c>
      <c r="K389" s="110">
        <v>0.87191970336650781</v>
      </c>
      <c r="L389" s="110">
        <v>1.540372329573988</v>
      </c>
      <c r="M389" s="110"/>
      <c r="N389" s="110"/>
      <c r="O389" s="110"/>
      <c r="P389" s="110">
        <v>54.337020000000003</v>
      </c>
      <c r="Q389" s="110"/>
      <c r="R389" s="110"/>
      <c r="S389" s="110"/>
      <c r="T389" s="110"/>
    </row>
    <row r="390" spans="1:20">
      <c r="A390" s="110" t="s">
        <v>44</v>
      </c>
      <c r="B390" s="110" t="s">
        <v>109</v>
      </c>
      <c r="C390" s="110">
        <v>11430</v>
      </c>
      <c r="D390" s="110">
        <v>24.95599</v>
      </c>
      <c r="E390" s="110">
        <v>7142</v>
      </c>
      <c r="F390" s="110">
        <v>322.33999999999997</v>
      </c>
      <c r="G390" s="110">
        <v>0.80310040469790345</v>
      </c>
      <c r="H390" s="110">
        <v>1.6107850666188304</v>
      </c>
      <c r="I390" s="110">
        <v>16910.03</v>
      </c>
      <c r="J390" s="110">
        <v>397.33679999999998</v>
      </c>
      <c r="K390" s="110">
        <v>0.86887056508365812</v>
      </c>
      <c r="L390" s="110">
        <v>1.5412094032386825</v>
      </c>
      <c r="M390" s="110"/>
      <c r="N390" s="110"/>
      <c r="O390" s="110"/>
      <c r="P390" s="110">
        <v>56.305430000000001</v>
      </c>
      <c r="Q390" s="110"/>
      <c r="R390" s="110"/>
      <c r="S390" s="110"/>
      <c r="T390" s="110"/>
    </row>
    <row r="391" spans="1:20">
      <c r="A391" s="110" t="s">
        <v>44</v>
      </c>
      <c r="B391" s="110" t="s">
        <v>109</v>
      </c>
      <c r="C391" s="110">
        <v>11430</v>
      </c>
      <c r="D391" s="110">
        <v>24.95599</v>
      </c>
      <c r="E391" s="110">
        <v>7142</v>
      </c>
      <c r="F391" s="110">
        <v>322.33999999999997</v>
      </c>
      <c r="G391" s="110">
        <v>0.80310040469790345</v>
      </c>
      <c r="H391" s="110">
        <v>1.6107850666188304</v>
      </c>
      <c r="I391" s="110">
        <v>16232.380000000001</v>
      </c>
      <c r="J391" s="110">
        <v>394.3091</v>
      </c>
      <c r="K391" s="110">
        <v>0.86281587868146814</v>
      </c>
      <c r="L391" s="110">
        <v>1.5470524052845955</v>
      </c>
      <c r="M391" s="110"/>
      <c r="N391" s="110"/>
      <c r="O391" s="110"/>
      <c r="P391" s="110">
        <v>59.836419999999997</v>
      </c>
      <c r="Q391" s="110"/>
      <c r="R391" s="110"/>
      <c r="S391" s="110"/>
      <c r="T391" s="110"/>
    </row>
    <row r="392" spans="1:20">
      <c r="A392" s="110" t="s">
        <v>44</v>
      </c>
      <c r="B392" s="110" t="s">
        <v>109</v>
      </c>
      <c r="C392" s="110">
        <v>11430</v>
      </c>
      <c r="D392" s="110">
        <v>24.95599</v>
      </c>
      <c r="E392" s="110">
        <v>7142</v>
      </c>
      <c r="F392" s="110">
        <v>322.33999999999997</v>
      </c>
      <c r="G392" s="110">
        <v>0.80310040469790345</v>
      </c>
      <c r="H392" s="110">
        <v>1.6107850666188304</v>
      </c>
      <c r="I392" s="110">
        <v>15784.1</v>
      </c>
      <c r="J392" s="110">
        <v>392.3845</v>
      </c>
      <c r="K392" s="110">
        <v>0.86195817443821598</v>
      </c>
      <c r="L392" s="110">
        <v>1.5483027381326462</v>
      </c>
      <c r="M392" s="110"/>
      <c r="N392" s="110"/>
      <c r="O392" s="110"/>
      <c r="P392" s="110">
        <v>61.806789999999999</v>
      </c>
      <c r="Q392" s="110"/>
      <c r="R392" s="110"/>
      <c r="S392" s="110"/>
      <c r="T392" s="110"/>
    </row>
    <row r="393" spans="1:20">
      <c r="A393" s="110" t="s">
        <v>44</v>
      </c>
      <c r="B393" s="110" t="s">
        <v>109</v>
      </c>
      <c r="C393" s="110">
        <v>11430</v>
      </c>
      <c r="D393" s="110">
        <v>24.95599</v>
      </c>
      <c r="E393" s="110">
        <v>7142</v>
      </c>
      <c r="F393" s="110">
        <v>322.33999999999997</v>
      </c>
      <c r="G393" s="110">
        <v>0.80310040469790345</v>
      </c>
      <c r="H393" s="110">
        <v>1.6107850666188304</v>
      </c>
      <c r="I393" s="110">
        <v>15623.869999999999</v>
      </c>
      <c r="J393" s="110">
        <v>391.7174</v>
      </c>
      <c r="K393" s="110">
        <v>0.86133132127528333</v>
      </c>
      <c r="L393" s="110">
        <v>1.548605169869524</v>
      </c>
      <c r="M393" s="110"/>
      <c r="N393" s="110"/>
      <c r="O393" s="110"/>
      <c r="P393" s="110">
        <v>62.425870000000003</v>
      </c>
      <c r="Q393" s="110"/>
      <c r="R393" s="110"/>
      <c r="S393" s="110"/>
      <c r="T393" s="110"/>
    </row>
    <row r="394" spans="1:20">
      <c r="A394" s="110" t="s">
        <v>44</v>
      </c>
      <c r="B394" s="110" t="s">
        <v>109</v>
      </c>
      <c r="C394" s="110">
        <v>11430</v>
      </c>
      <c r="D394" s="110">
        <v>24.95599</v>
      </c>
      <c r="E394" s="110">
        <v>7142</v>
      </c>
      <c r="F394" s="110">
        <v>322.33999999999997</v>
      </c>
      <c r="G394" s="110">
        <v>0.80310040469790345</v>
      </c>
      <c r="H394" s="110">
        <v>1.6107850666188304</v>
      </c>
      <c r="I394" s="110">
        <v>14932.710000000001</v>
      </c>
      <c r="J394" s="110">
        <v>388.91340000000002</v>
      </c>
      <c r="K394" s="110">
        <v>0.85661529082559307</v>
      </c>
      <c r="L394" s="110">
        <v>1.5492331631524383</v>
      </c>
      <c r="M394" s="110"/>
      <c r="N394" s="110"/>
      <c r="O394" s="110"/>
      <c r="P394" s="110">
        <v>64.709919999999997</v>
      </c>
      <c r="Q394" s="110"/>
      <c r="R394" s="110"/>
      <c r="S394" s="110"/>
      <c r="T394" s="110"/>
    </row>
    <row r="395" spans="1:20">
      <c r="A395" s="110" t="s">
        <v>44</v>
      </c>
      <c r="B395" s="110" t="s">
        <v>109</v>
      </c>
      <c r="C395" s="110">
        <v>11430</v>
      </c>
      <c r="D395" s="110">
        <v>24.95599</v>
      </c>
      <c r="E395" s="110">
        <v>7142</v>
      </c>
      <c r="F395" s="110">
        <v>322.33999999999997</v>
      </c>
      <c r="G395" s="110">
        <v>0.80310040469790345</v>
      </c>
      <c r="H395" s="110">
        <v>1.6107850666188304</v>
      </c>
      <c r="I395" s="110">
        <v>14551.310000000001</v>
      </c>
      <c r="J395" s="110">
        <v>387.37720000000002</v>
      </c>
      <c r="K395" s="110">
        <v>0.85411011524510938</v>
      </c>
      <c r="L395" s="110">
        <v>1.5422804131043326</v>
      </c>
      <c r="M395" s="110"/>
      <c r="N395" s="110"/>
      <c r="O395" s="110"/>
      <c r="P395" s="110">
        <v>65.765110000000007</v>
      </c>
      <c r="Q395" s="110"/>
      <c r="R395" s="110"/>
      <c r="S395" s="110"/>
      <c r="T395" s="110"/>
    </row>
    <row r="396" spans="1:20">
      <c r="A396" s="110" t="s">
        <v>44</v>
      </c>
      <c r="B396" s="110" t="s">
        <v>109</v>
      </c>
      <c r="C396" s="110">
        <v>11430</v>
      </c>
      <c r="D396" s="110">
        <v>24.95599</v>
      </c>
      <c r="E396" s="110">
        <v>7142</v>
      </c>
      <c r="F396" s="110">
        <v>322.33999999999997</v>
      </c>
      <c r="G396" s="110">
        <v>0.80310040469790345</v>
      </c>
      <c r="H396" s="110">
        <v>1.6107850666188304</v>
      </c>
      <c r="I396" s="110">
        <v>13785.949999999999</v>
      </c>
      <c r="J396" s="110">
        <v>384.32830000000001</v>
      </c>
      <c r="K396" s="110">
        <v>0.85417061098517666</v>
      </c>
      <c r="L396" s="110">
        <v>1.5440460508569178</v>
      </c>
      <c r="M396" s="110"/>
      <c r="N396" s="110"/>
      <c r="O396" s="110"/>
      <c r="P396" s="110">
        <v>67.527140000000003</v>
      </c>
      <c r="Q396" s="110"/>
      <c r="R396" s="110"/>
      <c r="S396" s="110"/>
      <c r="T396" s="110"/>
    </row>
    <row r="397" spans="1:20">
      <c r="A397" s="110" t="s">
        <v>44</v>
      </c>
      <c r="B397" s="110" t="s">
        <v>109</v>
      </c>
      <c r="C397" s="110">
        <v>11430</v>
      </c>
      <c r="D397" s="110">
        <v>24.95599</v>
      </c>
      <c r="E397" s="110">
        <v>7142</v>
      </c>
      <c r="F397" s="110">
        <v>322.33999999999997</v>
      </c>
      <c r="G397" s="110">
        <v>0.80310040469790345</v>
      </c>
      <c r="H397" s="110">
        <v>1.6107850666188304</v>
      </c>
      <c r="I397" s="110">
        <v>13410.759999999998</v>
      </c>
      <c r="J397" s="110">
        <v>382.82839999999999</v>
      </c>
      <c r="K397" s="110">
        <v>0.85203999324244595</v>
      </c>
      <c r="L397" s="110">
        <v>1.5442913514270167</v>
      </c>
      <c r="M397" s="110"/>
      <c r="N397" s="110"/>
      <c r="O397" s="110"/>
      <c r="P397" s="110">
        <v>68.284540000000007</v>
      </c>
      <c r="Q397" s="110"/>
      <c r="R397" s="110"/>
      <c r="S397" s="110"/>
      <c r="T397" s="110"/>
    </row>
    <row r="398" spans="1:20">
      <c r="A398" s="110" t="s">
        <v>44</v>
      </c>
      <c r="B398" s="110" t="s">
        <v>109</v>
      </c>
      <c r="C398" s="110">
        <v>11430</v>
      </c>
      <c r="D398" s="110">
        <v>24.95599</v>
      </c>
      <c r="E398" s="110">
        <v>7142</v>
      </c>
      <c r="F398" s="110">
        <v>322.33999999999997</v>
      </c>
      <c r="G398" s="110">
        <v>0.80310040469790345</v>
      </c>
      <c r="H398" s="110">
        <v>1.6107850666188304</v>
      </c>
      <c r="I398" s="110">
        <v>12642.019999999999</v>
      </c>
      <c r="J398" s="110">
        <v>379.7</v>
      </c>
      <c r="K398" s="110">
        <v>0.85140703137834317</v>
      </c>
      <c r="L398" s="110">
        <v>1.5298134696067072</v>
      </c>
      <c r="M398" s="110"/>
      <c r="N398" s="110"/>
      <c r="O398" s="110"/>
      <c r="P398" s="110">
        <v>69.649439999999998</v>
      </c>
      <c r="Q398" s="110"/>
      <c r="R398" s="110"/>
      <c r="S398" s="110"/>
      <c r="T398" s="110"/>
    </row>
    <row r="399" spans="1:20">
      <c r="A399" s="110" t="s">
        <v>44</v>
      </c>
      <c r="B399" s="110" t="s">
        <v>109</v>
      </c>
      <c r="C399" s="110">
        <v>11430</v>
      </c>
      <c r="D399" s="110">
        <v>24.95599</v>
      </c>
      <c r="E399" s="110">
        <v>7142</v>
      </c>
      <c r="F399" s="110">
        <v>322.33999999999997</v>
      </c>
      <c r="G399" s="110">
        <v>0.80310040469790345</v>
      </c>
      <c r="H399" s="110">
        <v>1.6107850666188304</v>
      </c>
      <c r="I399" s="110">
        <v>12228.109999999999</v>
      </c>
      <c r="J399" s="110">
        <v>377.99299999999999</v>
      </c>
      <c r="K399" s="110">
        <v>0.85116570783325218</v>
      </c>
      <c r="L399" s="110">
        <v>1.5340966905211739</v>
      </c>
      <c r="M399" s="110"/>
      <c r="N399" s="110"/>
      <c r="O399" s="110"/>
      <c r="P399" s="110">
        <v>70.278409999999994</v>
      </c>
      <c r="Q399" s="110"/>
      <c r="R399" s="110"/>
      <c r="S399" s="110"/>
      <c r="T399" s="110"/>
    </row>
    <row r="400" spans="1:20">
      <c r="A400" s="110" t="s">
        <v>44</v>
      </c>
      <c r="B400" s="110" t="s">
        <v>109</v>
      </c>
      <c r="C400" s="110">
        <v>11430</v>
      </c>
      <c r="D400" s="110">
        <v>24.95599</v>
      </c>
      <c r="E400" s="110">
        <v>7142</v>
      </c>
      <c r="F400" s="110">
        <v>322.33999999999997</v>
      </c>
      <c r="G400" s="110">
        <v>0.80310040469790345</v>
      </c>
      <c r="H400" s="110">
        <v>1.6107850666188304</v>
      </c>
      <c r="I400" s="110">
        <v>11480.51</v>
      </c>
      <c r="J400" s="110">
        <v>374.83319999999998</v>
      </c>
      <c r="K400" s="110">
        <v>0.8502181728143533</v>
      </c>
      <c r="L400" s="110">
        <v>1.518812879019557</v>
      </c>
      <c r="M400" s="110"/>
      <c r="N400" s="110"/>
      <c r="O400" s="110"/>
      <c r="P400" s="110">
        <v>71.281459999999996</v>
      </c>
      <c r="Q400" s="110"/>
      <c r="R400" s="110"/>
      <c r="S400" s="110"/>
      <c r="T400" s="110"/>
    </row>
    <row r="401" spans="1:20">
      <c r="A401" s="110" t="s">
        <v>44</v>
      </c>
      <c r="B401" s="110" t="s">
        <v>109</v>
      </c>
      <c r="C401" s="110">
        <v>10795</v>
      </c>
      <c r="D401" s="110">
        <v>24.95599</v>
      </c>
      <c r="E401" s="110">
        <v>7142</v>
      </c>
      <c r="F401" s="110">
        <v>322.33999999999997</v>
      </c>
      <c r="G401" s="110">
        <v>0.80310040469790345</v>
      </c>
      <c r="H401" s="110">
        <v>1.6107850666188304</v>
      </c>
      <c r="I401" s="110">
        <v>17227.11</v>
      </c>
      <c r="J401" s="110">
        <v>400.94450000000001</v>
      </c>
      <c r="K401" s="110">
        <v>0.8755025740963126</v>
      </c>
      <c r="L401" s="110">
        <v>1.5347819870744124</v>
      </c>
      <c r="M401" s="110"/>
      <c r="N401" s="110"/>
      <c r="O401" s="110"/>
      <c r="P401" s="110">
        <v>34.208970000000001</v>
      </c>
      <c r="Q401" s="110"/>
      <c r="R401" s="110"/>
      <c r="S401" s="110"/>
      <c r="T401" s="110"/>
    </row>
    <row r="402" spans="1:20">
      <c r="A402" s="110" t="s">
        <v>44</v>
      </c>
      <c r="B402" s="110" t="s">
        <v>109</v>
      </c>
      <c r="C402" s="110">
        <v>10795</v>
      </c>
      <c r="D402" s="110">
        <v>24.95599</v>
      </c>
      <c r="E402" s="110">
        <v>7142</v>
      </c>
      <c r="F402" s="110">
        <v>322.33999999999997</v>
      </c>
      <c r="G402" s="110">
        <v>0.80310040469790345</v>
      </c>
      <c r="H402" s="110">
        <v>1.6107850666188304</v>
      </c>
      <c r="I402" s="110">
        <v>17211.62</v>
      </c>
      <c r="J402" s="110">
        <v>400.78550000000001</v>
      </c>
      <c r="K402" s="110">
        <v>0.87522331753475002</v>
      </c>
      <c r="L402" s="110">
        <v>1.5351821292181382</v>
      </c>
      <c r="M402" s="110"/>
      <c r="N402" s="110"/>
      <c r="O402" s="110"/>
      <c r="P402" s="110">
        <v>34.52796</v>
      </c>
      <c r="Q402" s="110"/>
      <c r="R402" s="110"/>
      <c r="S402" s="110"/>
      <c r="T402" s="110"/>
    </row>
    <row r="403" spans="1:20">
      <c r="A403" s="110" t="s">
        <v>44</v>
      </c>
      <c r="B403" s="110" t="s">
        <v>109</v>
      </c>
      <c r="C403" s="110">
        <v>10795</v>
      </c>
      <c r="D403" s="110">
        <v>24.95599</v>
      </c>
      <c r="E403" s="110">
        <v>7142</v>
      </c>
      <c r="F403" s="110">
        <v>322.33999999999997</v>
      </c>
      <c r="G403" s="110">
        <v>0.80310040469790345</v>
      </c>
      <c r="H403" s="110">
        <v>1.6107850666188304</v>
      </c>
      <c r="I403" s="110">
        <v>17177.490000000002</v>
      </c>
      <c r="J403" s="110">
        <v>400.44889999999998</v>
      </c>
      <c r="K403" s="110">
        <v>0.87462617640690699</v>
      </c>
      <c r="L403" s="110">
        <v>1.536008253672476</v>
      </c>
      <c r="M403" s="110"/>
      <c r="N403" s="110"/>
      <c r="O403" s="110"/>
      <c r="P403" s="110">
        <v>35.195569999999996</v>
      </c>
      <c r="Q403" s="110"/>
      <c r="R403" s="110"/>
      <c r="S403" s="110"/>
      <c r="T403" s="110"/>
    </row>
    <row r="404" spans="1:20">
      <c r="A404" s="110" t="s">
        <v>44</v>
      </c>
      <c r="B404" s="110" t="s">
        <v>109</v>
      </c>
      <c r="C404" s="110">
        <v>10795</v>
      </c>
      <c r="D404" s="110">
        <v>24.95599</v>
      </c>
      <c r="E404" s="110">
        <v>7142</v>
      </c>
      <c r="F404" s="110">
        <v>322.33999999999997</v>
      </c>
      <c r="G404" s="110">
        <v>0.80310040469790345</v>
      </c>
      <c r="H404" s="110">
        <v>1.6107850666188304</v>
      </c>
      <c r="I404" s="110">
        <v>17036.02</v>
      </c>
      <c r="J404" s="110">
        <v>399.20170000000002</v>
      </c>
      <c r="K404" s="110">
        <v>0.87232788693463481</v>
      </c>
      <c r="L404" s="110">
        <v>1.5381064465221219</v>
      </c>
      <c r="M404" s="110"/>
      <c r="N404" s="110"/>
      <c r="O404" s="110"/>
      <c r="P404" s="110">
        <v>37.564700000000002</v>
      </c>
      <c r="Q404" s="110"/>
      <c r="R404" s="110"/>
      <c r="S404" s="110"/>
      <c r="T404" s="110"/>
    </row>
    <row r="405" spans="1:20">
      <c r="A405" s="110" t="s">
        <v>44</v>
      </c>
      <c r="B405" s="110" t="s">
        <v>109</v>
      </c>
      <c r="C405" s="110">
        <v>10795</v>
      </c>
      <c r="D405" s="110">
        <v>24.95599</v>
      </c>
      <c r="E405" s="110">
        <v>7142</v>
      </c>
      <c r="F405" s="110">
        <v>322.33999999999997</v>
      </c>
      <c r="G405" s="110">
        <v>0.80310040469790345</v>
      </c>
      <c r="H405" s="110">
        <v>1.6107850666188304</v>
      </c>
      <c r="I405" s="110">
        <v>16770.43</v>
      </c>
      <c r="J405" s="110">
        <v>397.18790000000001</v>
      </c>
      <c r="K405" s="110">
        <v>0.86825022952129038</v>
      </c>
      <c r="L405" s="110">
        <v>1.5404419880133344</v>
      </c>
      <c r="M405" s="110"/>
      <c r="N405" s="110"/>
      <c r="O405" s="110"/>
      <c r="P405" s="110">
        <v>41.075510000000001</v>
      </c>
      <c r="Q405" s="110"/>
      <c r="R405" s="110"/>
      <c r="S405" s="110"/>
      <c r="T405" s="110"/>
    </row>
    <row r="406" spans="1:20">
      <c r="A406" s="110" t="s">
        <v>44</v>
      </c>
      <c r="B406" s="110" t="s">
        <v>109</v>
      </c>
      <c r="C406" s="110">
        <v>10795</v>
      </c>
      <c r="D406" s="110">
        <v>24.95599</v>
      </c>
      <c r="E406" s="110">
        <v>7142</v>
      </c>
      <c r="F406" s="110">
        <v>322.33999999999997</v>
      </c>
      <c r="G406" s="110">
        <v>0.80310040469790345</v>
      </c>
      <c r="H406" s="110">
        <v>1.6107850666188304</v>
      </c>
      <c r="I406" s="110">
        <v>16351.619999999999</v>
      </c>
      <c r="J406" s="110">
        <v>394.48899999999998</v>
      </c>
      <c r="K406" s="110">
        <v>0.86217812894217616</v>
      </c>
      <c r="L406" s="110">
        <v>1.5478969965815761</v>
      </c>
      <c r="M406" s="110"/>
      <c r="N406" s="110"/>
      <c r="O406" s="110"/>
      <c r="P406" s="110">
        <v>45.422110000000004</v>
      </c>
      <c r="Q406" s="110"/>
      <c r="R406" s="110"/>
      <c r="S406" s="110"/>
      <c r="T406" s="110"/>
    </row>
    <row r="407" spans="1:20">
      <c r="A407" s="110" t="s">
        <v>44</v>
      </c>
      <c r="B407" s="110" t="s">
        <v>109</v>
      </c>
      <c r="C407" s="110">
        <v>10795</v>
      </c>
      <c r="D407" s="110">
        <v>24.95599</v>
      </c>
      <c r="E407" s="110">
        <v>7142</v>
      </c>
      <c r="F407" s="110">
        <v>322.33999999999997</v>
      </c>
      <c r="G407" s="110">
        <v>0.80310040469790345</v>
      </c>
      <c r="H407" s="110">
        <v>1.6107850666188304</v>
      </c>
      <c r="I407" s="110">
        <v>15932.96</v>
      </c>
      <c r="J407" s="110">
        <v>392.14580000000001</v>
      </c>
      <c r="K407" s="110">
        <v>0.86077420323131448</v>
      </c>
      <c r="L407" s="110">
        <v>1.5508807947903209</v>
      </c>
      <c r="M407" s="110"/>
      <c r="N407" s="110"/>
      <c r="O407" s="110"/>
      <c r="P407" s="110">
        <v>48.883980000000001</v>
      </c>
      <c r="Q407" s="110"/>
      <c r="R407" s="110"/>
      <c r="S407" s="110"/>
      <c r="T407" s="110"/>
    </row>
    <row r="408" spans="1:20">
      <c r="A408" s="110" t="s">
        <v>44</v>
      </c>
      <c r="B408" s="110" t="s">
        <v>109</v>
      </c>
      <c r="C408" s="110">
        <v>10795</v>
      </c>
      <c r="D408" s="110">
        <v>24.95599</v>
      </c>
      <c r="E408" s="110">
        <v>7142</v>
      </c>
      <c r="F408" s="110">
        <v>322.33999999999997</v>
      </c>
      <c r="G408" s="110">
        <v>0.80310040469790345</v>
      </c>
      <c r="H408" s="110">
        <v>1.6107850666188304</v>
      </c>
      <c r="I408" s="110">
        <v>15492.289999999999</v>
      </c>
      <c r="J408" s="110">
        <v>389.89330000000001</v>
      </c>
      <c r="K408" s="110">
        <v>0.85829667985317859</v>
      </c>
      <c r="L408" s="110">
        <v>1.5535796514123874</v>
      </c>
      <c r="M408" s="110"/>
      <c r="N408" s="110"/>
      <c r="O408" s="110"/>
      <c r="P408" s="110">
        <v>51.849110000000003</v>
      </c>
      <c r="Q408" s="110"/>
      <c r="R408" s="110"/>
      <c r="S408" s="110"/>
      <c r="T408" s="110"/>
    </row>
    <row r="409" spans="1:20">
      <c r="A409" s="110" t="s">
        <v>44</v>
      </c>
      <c r="B409" s="110" t="s">
        <v>109</v>
      </c>
      <c r="C409" s="110">
        <v>10795</v>
      </c>
      <c r="D409" s="110">
        <v>24.95599</v>
      </c>
      <c r="E409" s="110">
        <v>7142</v>
      </c>
      <c r="F409" s="110">
        <v>322.33999999999997</v>
      </c>
      <c r="G409" s="110">
        <v>0.80310040469790345</v>
      </c>
      <c r="H409" s="110">
        <v>1.6107850666188304</v>
      </c>
      <c r="I409" s="110">
        <v>14537.09</v>
      </c>
      <c r="J409" s="110">
        <v>385.34809999999999</v>
      </c>
      <c r="K409" s="110">
        <v>0.85048989982680967</v>
      </c>
      <c r="L409" s="110">
        <v>1.5525042026404436</v>
      </c>
      <c r="M409" s="110"/>
      <c r="N409" s="110"/>
      <c r="O409" s="110"/>
      <c r="P409" s="110">
        <v>56.880969999999998</v>
      </c>
      <c r="Q409" s="110"/>
      <c r="R409" s="110"/>
      <c r="S409" s="110"/>
      <c r="T409" s="110"/>
    </row>
    <row r="410" spans="1:20">
      <c r="A410" s="110" t="s">
        <v>44</v>
      </c>
      <c r="B410" s="110" t="s">
        <v>109</v>
      </c>
      <c r="C410" s="110">
        <v>10795</v>
      </c>
      <c r="D410" s="110">
        <v>24.95599</v>
      </c>
      <c r="E410" s="110">
        <v>7142</v>
      </c>
      <c r="F410" s="110">
        <v>322.33999999999997</v>
      </c>
      <c r="G410" s="110">
        <v>0.80310040469790345</v>
      </c>
      <c r="H410" s="110">
        <v>1.6107850666188304</v>
      </c>
      <c r="I410" s="110">
        <v>13287.5</v>
      </c>
      <c r="J410" s="110">
        <v>379.88459999999998</v>
      </c>
      <c r="K410" s="110">
        <v>0.84623750258540409</v>
      </c>
      <c r="L410" s="110">
        <v>1.5571061780897317</v>
      </c>
      <c r="M410" s="110"/>
      <c r="N410" s="110"/>
      <c r="O410" s="110"/>
      <c r="P410" s="110">
        <v>61.158450000000002</v>
      </c>
      <c r="Q410" s="110"/>
      <c r="R410" s="110"/>
      <c r="S410" s="110"/>
      <c r="T410" s="110"/>
    </row>
    <row r="411" spans="1:20">
      <c r="A411" s="110" t="s">
        <v>44</v>
      </c>
      <c r="B411" s="110" t="s">
        <v>109</v>
      </c>
      <c r="C411" s="110">
        <v>10795</v>
      </c>
      <c r="D411" s="110">
        <v>24.95599</v>
      </c>
      <c r="E411" s="110">
        <v>7142</v>
      </c>
      <c r="F411" s="110">
        <v>322.33999999999997</v>
      </c>
      <c r="G411" s="110">
        <v>0.80310040469790345</v>
      </c>
      <c r="H411" s="110">
        <v>1.6107850666188304</v>
      </c>
      <c r="I411" s="110">
        <v>12987.25</v>
      </c>
      <c r="J411" s="110">
        <v>378.58909999999997</v>
      </c>
      <c r="K411" s="110">
        <v>0.84514038407152181</v>
      </c>
      <c r="L411" s="110">
        <v>1.542787292811556</v>
      </c>
      <c r="M411" s="110"/>
      <c r="N411" s="110"/>
      <c r="O411" s="110"/>
      <c r="P411" s="110">
        <v>61.965339999999998</v>
      </c>
      <c r="Q411" s="110"/>
      <c r="R411" s="110"/>
      <c r="S411" s="110"/>
      <c r="T411" s="110"/>
    </row>
    <row r="412" spans="1:20">
      <c r="A412" s="110" t="s">
        <v>44</v>
      </c>
      <c r="B412" s="110" t="s">
        <v>109</v>
      </c>
      <c r="C412" s="110">
        <v>10795</v>
      </c>
      <c r="D412" s="110">
        <v>24.95599</v>
      </c>
      <c r="E412" s="110">
        <v>7142</v>
      </c>
      <c r="F412" s="110">
        <v>322.33999999999997</v>
      </c>
      <c r="G412" s="110">
        <v>0.80310040469790345</v>
      </c>
      <c r="H412" s="110">
        <v>1.6107850666188304</v>
      </c>
      <c r="I412" s="110">
        <v>12715.640000000001</v>
      </c>
      <c r="J412" s="110">
        <v>377.40800000000002</v>
      </c>
      <c r="K412" s="110">
        <v>0.84620773192193099</v>
      </c>
      <c r="L412" s="110">
        <v>1.5440310116307572</v>
      </c>
      <c r="M412" s="110"/>
      <c r="N412" s="110"/>
      <c r="O412" s="110"/>
      <c r="P412" s="110">
        <v>62.641930000000002</v>
      </c>
      <c r="Q412" s="110"/>
      <c r="R412" s="110"/>
      <c r="S412" s="110"/>
      <c r="T412" s="110"/>
    </row>
    <row r="413" spans="1:20">
      <c r="A413" s="110" t="s">
        <v>44</v>
      </c>
      <c r="B413" s="110" t="s">
        <v>109</v>
      </c>
      <c r="C413" s="110">
        <v>10795</v>
      </c>
      <c r="D413" s="110">
        <v>24.95599</v>
      </c>
      <c r="E413" s="110">
        <v>7142</v>
      </c>
      <c r="F413" s="110">
        <v>322.33999999999997</v>
      </c>
      <c r="G413" s="110">
        <v>0.80310040469790345</v>
      </c>
      <c r="H413" s="110">
        <v>1.6107850666188304</v>
      </c>
      <c r="I413" s="110">
        <v>11933.289999999999</v>
      </c>
      <c r="J413" s="110">
        <v>373.9778</v>
      </c>
      <c r="K413" s="110">
        <v>0.84448478267383664</v>
      </c>
      <c r="L413" s="110">
        <v>1.5473708600170635</v>
      </c>
      <c r="M413" s="110"/>
      <c r="N413" s="110"/>
      <c r="O413" s="110"/>
      <c r="P413" s="110">
        <v>64.303219999999996</v>
      </c>
      <c r="Q413" s="110"/>
      <c r="R413" s="110"/>
      <c r="S413" s="110"/>
      <c r="T413" s="110"/>
    </row>
    <row r="414" spans="1:20">
      <c r="A414" s="110" t="s">
        <v>44</v>
      </c>
      <c r="B414" s="110" t="s">
        <v>109</v>
      </c>
      <c r="C414" s="110">
        <v>10795</v>
      </c>
      <c r="D414" s="110">
        <v>24.95599</v>
      </c>
      <c r="E414" s="110">
        <v>7142</v>
      </c>
      <c r="F414" s="110">
        <v>322.33999999999997</v>
      </c>
      <c r="G414" s="110">
        <v>0.80310040469790345</v>
      </c>
      <c r="H414" s="110">
        <v>1.6107850666188304</v>
      </c>
      <c r="I414" s="110">
        <v>11533.91</v>
      </c>
      <c r="J414" s="110">
        <v>372.21749999999997</v>
      </c>
      <c r="K414" s="110">
        <v>0.84427572672259055</v>
      </c>
      <c r="L414" s="110">
        <v>1.5319926773300103</v>
      </c>
      <c r="M414" s="110"/>
      <c r="N414" s="110"/>
      <c r="O414" s="110"/>
      <c r="P414" s="110">
        <v>64.987589999999997</v>
      </c>
      <c r="Q414" s="110"/>
      <c r="R414" s="110"/>
      <c r="S414" s="110"/>
      <c r="T414" s="110"/>
    </row>
    <row r="415" spans="1:20">
      <c r="A415" s="110" t="s">
        <v>44</v>
      </c>
      <c r="B415" s="110" t="s">
        <v>109</v>
      </c>
      <c r="C415" s="110">
        <v>10795</v>
      </c>
      <c r="D415" s="110">
        <v>24.95599</v>
      </c>
      <c r="E415" s="110">
        <v>7142</v>
      </c>
      <c r="F415" s="110">
        <v>322.33999999999997</v>
      </c>
      <c r="G415" s="110">
        <v>0.80310040469790345</v>
      </c>
      <c r="H415" s="110">
        <v>1.6107850666188304</v>
      </c>
      <c r="I415" s="110">
        <v>10904.300000000001</v>
      </c>
      <c r="J415" s="110">
        <v>369.40210000000002</v>
      </c>
      <c r="K415" s="110">
        <v>0.84582713146850586</v>
      </c>
      <c r="L415" s="110">
        <v>1.5369643226940721</v>
      </c>
      <c r="M415" s="110"/>
      <c r="N415" s="110"/>
      <c r="O415" s="110"/>
      <c r="P415" s="110">
        <v>65.951210000000003</v>
      </c>
      <c r="Q415" s="110"/>
      <c r="R415" s="110"/>
      <c r="S415" s="110"/>
      <c r="T415" s="110"/>
    </row>
    <row r="416" spans="1:20">
      <c r="A416" s="110" t="s">
        <v>44</v>
      </c>
      <c r="B416" s="110" t="s">
        <v>109</v>
      </c>
      <c r="C416" s="110">
        <v>10795</v>
      </c>
      <c r="D416" s="110">
        <v>24.95599</v>
      </c>
      <c r="E416" s="110">
        <v>7142</v>
      </c>
      <c r="F416" s="110">
        <v>322.33999999999997</v>
      </c>
      <c r="G416" s="110">
        <v>0.80310040469790345</v>
      </c>
      <c r="H416" s="110">
        <v>1.6107850666188304</v>
      </c>
      <c r="I416" s="110">
        <v>10731</v>
      </c>
      <c r="J416" s="110">
        <v>368.61320000000001</v>
      </c>
      <c r="K416" s="110">
        <v>0.84522072908669765</v>
      </c>
      <c r="L416" s="110">
        <v>1.5382536899988242</v>
      </c>
      <c r="M416" s="110"/>
      <c r="N416" s="110"/>
      <c r="O416" s="110"/>
      <c r="P416" s="110">
        <v>66.201279999999997</v>
      </c>
      <c r="Q416" s="110"/>
      <c r="R416" s="110"/>
      <c r="S416" s="110"/>
      <c r="T416" s="110"/>
    </row>
    <row r="417" spans="1:20">
      <c r="A417" s="110" t="s">
        <v>44</v>
      </c>
      <c r="B417" s="110" t="s">
        <v>109</v>
      </c>
      <c r="C417" s="110">
        <v>10160</v>
      </c>
      <c r="D417" s="110">
        <v>24.95599</v>
      </c>
      <c r="E417" s="110">
        <v>7142</v>
      </c>
      <c r="F417" s="110">
        <v>322.33999999999997</v>
      </c>
      <c r="G417" s="110">
        <v>0.80310040469790345</v>
      </c>
      <c r="H417" s="110">
        <v>1.6107850666188304</v>
      </c>
      <c r="I417" s="110">
        <v>15708.5</v>
      </c>
      <c r="J417" s="110">
        <v>392.87819999999999</v>
      </c>
      <c r="K417" s="110">
        <v>0.86318457805698567</v>
      </c>
      <c r="L417" s="110">
        <v>1.5447739534832154</v>
      </c>
      <c r="M417" s="110"/>
      <c r="N417" s="110"/>
      <c r="O417" s="110"/>
      <c r="P417" s="110">
        <v>31.77656</v>
      </c>
      <c r="Q417" s="110"/>
      <c r="R417" s="110"/>
      <c r="S417" s="110"/>
      <c r="T417" s="110"/>
    </row>
    <row r="418" spans="1:20">
      <c r="A418" s="110" t="s">
        <v>44</v>
      </c>
      <c r="B418" s="110" t="s">
        <v>109</v>
      </c>
      <c r="C418" s="110">
        <v>10160</v>
      </c>
      <c r="D418" s="110">
        <v>24.95599</v>
      </c>
      <c r="E418" s="110">
        <v>7142</v>
      </c>
      <c r="F418" s="110">
        <v>322.33999999999997</v>
      </c>
      <c r="G418" s="110">
        <v>0.80310040469790345</v>
      </c>
      <c r="H418" s="110">
        <v>1.6107850666188304</v>
      </c>
      <c r="I418" s="110">
        <v>15692.119999999999</v>
      </c>
      <c r="J418" s="110">
        <v>392.70420000000001</v>
      </c>
      <c r="K418" s="110">
        <v>0.86292430318300084</v>
      </c>
      <c r="L418" s="110">
        <v>1.5452818607101024</v>
      </c>
      <c r="M418" s="110"/>
      <c r="N418" s="110"/>
      <c r="O418" s="110"/>
      <c r="P418" s="110">
        <v>32.111539999999998</v>
      </c>
      <c r="Q418" s="110"/>
      <c r="R418" s="110"/>
      <c r="S418" s="110"/>
      <c r="T418" s="110"/>
    </row>
    <row r="419" spans="1:20">
      <c r="A419" s="110" t="s">
        <v>44</v>
      </c>
      <c r="B419" s="110" t="s">
        <v>109</v>
      </c>
      <c r="C419" s="110">
        <v>10160</v>
      </c>
      <c r="D419" s="110">
        <v>24.95599</v>
      </c>
      <c r="E419" s="110">
        <v>7142</v>
      </c>
      <c r="F419" s="110">
        <v>322.33999999999997</v>
      </c>
      <c r="G419" s="110">
        <v>0.80310040469790345</v>
      </c>
      <c r="H419" s="110">
        <v>1.6107850666188304</v>
      </c>
      <c r="I419" s="110">
        <v>15683.74</v>
      </c>
      <c r="J419" s="110">
        <v>392.61669999999998</v>
      </c>
      <c r="K419" s="110">
        <v>0.86279315102065912</v>
      </c>
      <c r="L419" s="110">
        <v>1.5455351621973856</v>
      </c>
      <c r="M419" s="110"/>
      <c r="N419" s="110"/>
      <c r="O419" s="110"/>
      <c r="P419" s="110">
        <v>32.279029999999999</v>
      </c>
      <c r="Q419" s="110"/>
      <c r="R419" s="110"/>
      <c r="S419" s="110"/>
      <c r="T419" s="110"/>
    </row>
    <row r="420" spans="1:20">
      <c r="A420" s="110" t="s">
        <v>44</v>
      </c>
      <c r="B420" s="110" t="s">
        <v>109</v>
      </c>
      <c r="C420" s="110">
        <v>10160</v>
      </c>
      <c r="D420" s="110">
        <v>24.95599</v>
      </c>
      <c r="E420" s="110">
        <v>7142</v>
      </c>
      <c r="F420" s="110">
        <v>322.33999999999997</v>
      </c>
      <c r="G420" s="110">
        <v>0.80310040469790345</v>
      </c>
      <c r="H420" s="110">
        <v>1.6107850666188304</v>
      </c>
      <c r="I420" s="110">
        <v>15618.22</v>
      </c>
      <c r="J420" s="110">
        <v>391.96980000000002</v>
      </c>
      <c r="K420" s="110">
        <v>0.86181804611222346</v>
      </c>
      <c r="L420" s="110">
        <v>1.5473530538175957</v>
      </c>
      <c r="M420" s="110"/>
      <c r="N420" s="110"/>
      <c r="O420" s="110"/>
      <c r="P420" s="110">
        <v>33.494410000000002</v>
      </c>
      <c r="Q420" s="110"/>
      <c r="R420" s="110"/>
      <c r="S420" s="110"/>
      <c r="T420" s="110"/>
    </row>
    <row r="421" spans="1:20">
      <c r="A421" s="110" t="s">
        <v>44</v>
      </c>
      <c r="B421" s="110" t="s">
        <v>109</v>
      </c>
      <c r="C421" s="110">
        <v>10160</v>
      </c>
      <c r="D421" s="110">
        <v>24.95599</v>
      </c>
      <c r="E421" s="110">
        <v>7142</v>
      </c>
      <c r="F421" s="110">
        <v>322.33999999999997</v>
      </c>
      <c r="G421" s="110">
        <v>0.80310040469790345</v>
      </c>
      <c r="H421" s="110">
        <v>1.6107850666188304</v>
      </c>
      <c r="I421" s="110">
        <v>15464.39</v>
      </c>
      <c r="J421" s="110">
        <v>390.62119999999999</v>
      </c>
      <c r="K421" s="110">
        <v>0.85971661141135336</v>
      </c>
      <c r="L421" s="110">
        <v>1.550874198909461</v>
      </c>
      <c r="M421" s="110"/>
      <c r="N421" s="110"/>
      <c r="O421" s="110"/>
      <c r="P421" s="110">
        <v>35.885579999999997</v>
      </c>
      <c r="Q421" s="110"/>
      <c r="R421" s="110"/>
      <c r="S421" s="110"/>
      <c r="T421" s="110"/>
    </row>
    <row r="422" spans="1:20">
      <c r="A422" s="110" t="s">
        <v>44</v>
      </c>
      <c r="B422" s="110" t="s">
        <v>109</v>
      </c>
      <c r="C422" s="110">
        <v>10160</v>
      </c>
      <c r="D422" s="110">
        <v>24.95599</v>
      </c>
      <c r="E422" s="110">
        <v>7142</v>
      </c>
      <c r="F422" s="110">
        <v>322.33999999999997</v>
      </c>
      <c r="G422" s="110">
        <v>0.80310040469790345</v>
      </c>
      <c r="H422" s="110">
        <v>1.6107850666188304</v>
      </c>
      <c r="I422" s="110">
        <v>15195.169999999998</v>
      </c>
      <c r="J422" s="110">
        <v>388.57440000000003</v>
      </c>
      <c r="K422" s="110">
        <v>0.85619864735583873</v>
      </c>
      <c r="L422" s="110">
        <v>1.5549617627633863</v>
      </c>
      <c r="M422" s="110"/>
      <c r="N422" s="110"/>
      <c r="O422" s="110"/>
      <c r="P422" s="110">
        <v>39.261360000000003</v>
      </c>
      <c r="Q422" s="110"/>
      <c r="R422" s="110"/>
      <c r="S422" s="110"/>
      <c r="T422" s="110"/>
    </row>
    <row r="423" spans="1:20">
      <c r="A423" s="110" t="s">
        <v>44</v>
      </c>
      <c r="B423" s="110" t="s">
        <v>109</v>
      </c>
      <c r="C423" s="110">
        <v>10160</v>
      </c>
      <c r="D423" s="110">
        <v>24.95599</v>
      </c>
      <c r="E423" s="110">
        <v>7142</v>
      </c>
      <c r="F423" s="110">
        <v>322.33999999999997</v>
      </c>
      <c r="G423" s="110">
        <v>0.80310040469790345</v>
      </c>
      <c r="H423" s="110">
        <v>1.6107850666188304</v>
      </c>
      <c r="I423" s="110">
        <v>15034.33</v>
      </c>
      <c r="J423" s="110">
        <v>387.4726</v>
      </c>
      <c r="K423" s="110">
        <v>0.854069249000178</v>
      </c>
      <c r="L423" s="110">
        <v>1.5565504834418638</v>
      </c>
      <c r="M423" s="110"/>
      <c r="N423" s="110"/>
      <c r="O423" s="110"/>
      <c r="P423" s="110">
        <v>41.010719999999999</v>
      </c>
      <c r="Q423" s="110"/>
      <c r="R423" s="110"/>
      <c r="S423" s="110"/>
      <c r="T423" s="110"/>
    </row>
    <row r="424" spans="1:20">
      <c r="A424" s="110" t="s">
        <v>44</v>
      </c>
      <c r="B424" s="110" t="s">
        <v>109</v>
      </c>
      <c r="C424" s="110">
        <v>10160</v>
      </c>
      <c r="D424" s="110">
        <v>24.95599</v>
      </c>
      <c r="E424" s="110">
        <v>7142</v>
      </c>
      <c r="F424" s="110">
        <v>322.33999999999997</v>
      </c>
      <c r="G424" s="110">
        <v>0.80310040469790345</v>
      </c>
      <c r="H424" s="110">
        <v>1.6107850666188304</v>
      </c>
      <c r="I424" s="110">
        <v>14735.02</v>
      </c>
      <c r="J424" s="110">
        <v>385.59679999999997</v>
      </c>
      <c r="K424" s="110">
        <v>0.84993452593897789</v>
      </c>
      <c r="L424" s="110">
        <v>1.5591357418831515</v>
      </c>
      <c r="M424" s="110"/>
      <c r="N424" s="110"/>
      <c r="O424" s="110"/>
      <c r="P424" s="110">
        <v>43.802639999999997</v>
      </c>
      <c r="Q424" s="110"/>
      <c r="R424" s="110"/>
      <c r="S424" s="110"/>
      <c r="T424" s="110"/>
    </row>
    <row r="425" spans="1:20">
      <c r="A425" s="110" t="s">
        <v>44</v>
      </c>
      <c r="B425" s="110" t="s">
        <v>109</v>
      </c>
      <c r="C425" s="110">
        <v>10160</v>
      </c>
      <c r="D425" s="110">
        <v>24.95599</v>
      </c>
      <c r="E425" s="110">
        <v>7142</v>
      </c>
      <c r="F425" s="110">
        <v>322.33999999999997</v>
      </c>
      <c r="G425" s="110">
        <v>0.80310040469790345</v>
      </c>
      <c r="H425" s="110">
        <v>1.6107850666188304</v>
      </c>
      <c r="I425" s="110">
        <v>14582.630000000001</v>
      </c>
      <c r="J425" s="110">
        <v>384.7013</v>
      </c>
      <c r="K425" s="110">
        <v>0.84876679666568611</v>
      </c>
      <c r="L425" s="110">
        <v>1.5566561863713617</v>
      </c>
      <c r="M425" s="110"/>
      <c r="N425" s="110"/>
      <c r="O425" s="110"/>
      <c r="P425" s="110">
        <v>45.048990000000003</v>
      </c>
      <c r="Q425" s="110"/>
      <c r="R425" s="110"/>
      <c r="S425" s="110"/>
      <c r="T425" s="110"/>
    </row>
    <row r="426" spans="1:20">
      <c r="A426" s="110" t="s">
        <v>44</v>
      </c>
      <c r="B426" s="110" t="s">
        <v>109</v>
      </c>
      <c r="C426" s="110">
        <v>10160</v>
      </c>
      <c r="D426" s="110">
        <v>24.95599</v>
      </c>
      <c r="E426" s="110">
        <v>7142</v>
      </c>
      <c r="F426" s="110">
        <v>322.33999999999997</v>
      </c>
      <c r="G426" s="110">
        <v>0.80310040469790345</v>
      </c>
      <c r="H426" s="110">
        <v>1.6107850666188304</v>
      </c>
      <c r="I426" s="110">
        <v>14302.61</v>
      </c>
      <c r="J426" s="110">
        <v>383.13029999999998</v>
      </c>
      <c r="K426" s="110">
        <v>0.84851440809952616</v>
      </c>
      <c r="L426" s="110">
        <v>1.5596660983435062</v>
      </c>
      <c r="M426" s="110"/>
      <c r="N426" s="110"/>
      <c r="O426" s="110"/>
      <c r="P426" s="110">
        <v>47.112920000000003</v>
      </c>
      <c r="Q426" s="110"/>
      <c r="R426" s="110"/>
      <c r="S426" s="110"/>
      <c r="T426" s="110"/>
    </row>
    <row r="427" spans="1:20">
      <c r="A427" s="110" t="s">
        <v>44</v>
      </c>
      <c r="B427" s="110" t="s">
        <v>109</v>
      </c>
      <c r="C427" s="110">
        <v>10160</v>
      </c>
      <c r="D427" s="110">
        <v>24.95599</v>
      </c>
      <c r="E427" s="110">
        <v>7142</v>
      </c>
      <c r="F427" s="110">
        <v>322.33999999999997</v>
      </c>
      <c r="G427" s="110">
        <v>0.80310040469790345</v>
      </c>
      <c r="H427" s="110">
        <v>1.6107850666188304</v>
      </c>
      <c r="I427" s="110">
        <v>14148.330000000002</v>
      </c>
      <c r="J427" s="110">
        <v>382.30439999999999</v>
      </c>
      <c r="K427" s="110">
        <v>0.84811132744344975</v>
      </c>
      <c r="L427" s="110">
        <v>1.5610504359834592</v>
      </c>
      <c r="M427" s="110"/>
      <c r="N427" s="110"/>
      <c r="O427" s="110"/>
      <c r="P427" s="110">
        <v>48.122689999999999</v>
      </c>
      <c r="Q427" s="110"/>
      <c r="R427" s="110"/>
      <c r="S427" s="110"/>
      <c r="T427" s="110"/>
    </row>
    <row r="428" spans="1:20">
      <c r="A428" s="110" t="s">
        <v>44</v>
      </c>
      <c r="B428" s="110" t="s">
        <v>109</v>
      </c>
      <c r="C428" s="110">
        <v>10160</v>
      </c>
      <c r="D428" s="110">
        <v>24.95599</v>
      </c>
      <c r="E428" s="110">
        <v>7142</v>
      </c>
      <c r="F428" s="110">
        <v>322.33999999999997</v>
      </c>
      <c r="G428" s="110">
        <v>0.80310040469790345</v>
      </c>
      <c r="H428" s="110">
        <v>1.6107850666188304</v>
      </c>
      <c r="I428" s="110">
        <v>13689.400000000001</v>
      </c>
      <c r="J428" s="110">
        <v>379.93880000000001</v>
      </c>
      <c r="K428" s="110">
        <v>0.84581033040325315</v>
      </c>
      <c r="L428" s="110">
        <v>1.5646756162875106</v>
      </c>
      <c r="M428" s="110"/>
      <c r="N428" s="110"/>
      <c r="O428" s="110"/>
      <c r="P428" s="110">
        <v>50.804510000000001</v>
      </c>
      <c r="Q428" s="110"/>
      <c r="R428" s="110"/>
      <c r="S428" s="110"/>
      <c r="T428" s="110"/>
    </row>
    <row r="429" spans="1:20">
      <c r="A429" s="110" t="s">
        <v>44</v>
      </c>
      <c r="B429" s="110" t="s">
        <v>109</v>
      </c>
      <c r="C429" s="110">
        <v>10160</v>
      </c>
      <c r="D429" s="110">
        <v>24.95599</v>
      </c>
      <c r="E429" s="110">
        <v>7142</v>
      </c>
      <c r="F429" s="110">
        <v>322.33999999999997</v>
      </c>
      <c r="G429" s="110">
        <v>0.80310040469790345</v>
      </c>
      <c r="H429" s="110">
        <v>1.6107850666188304</v>
      </c>
      <c r="I429" s="110">
        <v>13409.21</v>
      </c>
      <c r="J429" s="110">
        <v>378.55720000000002</v>
      </c>
      <c r="K429" s="110">
        <v>0.84359082687715692</v>
      </c>
      <c r="L429" s="110">
        <v>1.5665191417978472</v>
      </c>
      <c r="M429" s="110"/>
      <c r="N429" s="110"/>
      <c r="O429" s="110"/>
      <c r="P429" s="110">
        <v>52.193759999999997</v>
      </c>
      <c r="Q429" s="110"/>
      <c r="R429" s="110"/>
      <c r="S429" s="110"/>
      <c r="T429" s="110"/>
    </row>
    <row r="430" spans="1:20">
      <c r="A430" s="110" t="s">
        <v>44</v>
      </c>
      <c r="B430" s="110" t="s">
        <v>109</v>
      </c>
      <c r="C430" s="110">
        <v>10160</v>
      </c>
      <c r="D430" s="110">
        <v>24.95599</v>
      </c>
      <c r="E430" s="110">
        <v>7142</v>
      </c>
      <c r="F430" s="110">
        <v>322.33999999999997</v>
      </c>
      <c r="G430" s="110">
        <v>0.80310040469790345</v>
      </c>
      <c r="H430" s="110">
        <v>1.6107850666188304</v>
      </c>
      <c r="I430" s="110">
        <v>12864.55</v>
      </c>
      <c r="J430" s="110">
        <v>375.91649999999998</v>
      </c>
      <c r="K430" s="110">
        <v>0.84151035782194439</v>
      </c>
      <c r="L430" s="110">
        <v>1.5554854195003209</v>
      </c>
      <c r="M430" s="110"/>
      <c r="N430" s="110"/>
      <c r="O430" s="110"/>
      <c r="P430" s="110">
        <v>54.480910000000002</v>
      </c>
      <c r="Q430" s="110"/>
      <c r="R430" s="110"/>
      <c r="S430" s="110"/>
      <c r="T430" s="110"/>
    </row>
    <row r="431" spans="1:20">
      <c r="A431" s="110" t="s">
        <v>44</v>
      </c>
      <c r="B431" s="110" t="s">
        <v>109</v>
      </c>
      <c r="C431" s="110">
        <v>10160</v>
      </c>
      <c r="D431" s="110">
        <v>24.95599</v>
      </c>
      <c r="E431" s="110">
        <v>7142</v>
      </c>
      <c r="F431" s="110">
        <v>322.33999999999997</v>
      </c>
      <c r="G431" s="110">
        <v>0.80310040469790345</v>
      </c>
      <c r="H431" s="110">
        <v>1.6107850666188304</v>
      </c>
      <c r="I431" s="110">
        <v>12570.55</v>
      </c>
      <c r="J431" s="110">
        <v>374.52249999999998</v>
      </c>
      <c r="K431" s="110">
        <v>0.84201662242639186</v>
      </c>
      <c r="L431" s="110">
        <v>1.5576565653155541</v>
      </c>
      <c r="M431" s="110"/>
      <c r="N431" s="110"/>
      <c r="O431" s="110"/>
      <c r="P431" s="110">
        <v>55.516379999999998</v>
      </c>
      <c r="Q431" s="110"/>
      <c r="R431" s="110"/>
      <c r="S431" s="110"/>
      <c r="T431" s="110"/>
    </row>
    <row r="432" spans="1:20">
      <c r="A432" s="110" t="s">
        <v>44</v>
      </c>
      <c r="B432" s="110" t="s">
        <v>109</v>
      </c>
      <c r="C432" s="110">
        <v>10160</v>
      </c>
      <c r="D432" s="110">
        <v>24.95599</v>
      </c>
      <c r="E432" s="110">
        <v>7142</v>
      </c>
      <c r="F432" s="110">
        <v>322.33999999999997</v>
      </c>
      <c r="G432" s="110">
        <v>0.80310040469790345</v>
      </c>
      <c r="H432" s="110">
        <v>1.6107850666188304</v>
      </c>
      <c r="I432" s="110">
        <v>12001.43</v>
      </c>
      <c r="J432" s="110">
        <v>371.88409999999999</v>
      </c>
      <c r="K432" s="110">
        <v>0.84001598553848178</v>
      </c>
      <c r="L432" s="110">
        <v>1.5609468141113469</v>
      </c>
      <c r="M432" s="110"/>
      <c r="N432" s="110"/>
      <c r="O432" s="110"/>
      <c r="P432" s="110">
        <v>57.180610000000001</v>
      </c>
      <c r="Q432" s="110"/>
      <c r="R432" s="110"/>
      <c r="S432" s="110"/>
      <c r="T432" s="110"/>
    </row>
    <row r="433" spans="1:20">
      <c r="A433" s="110" t="s">
        <v>44</v>
      </c>
      <c r="B433" s="110" t="s">
        <v>109</v>
      </c>
      <c r="C433" s="110">
        <v>10160</v>
      </c>
      <c r="D433" s="110">
        <v>24.95599</v>
      </c>
      <c r="E433" s="110">
        <v>7142</v>
      </c>
      <c r="F433" s="110">
        <v>322.33999999999997</v>
      </c>
      <c r="G433" s="110">
        <v>0.80310040469790345</v>
      </c>
      <c r="H433" s="110">
        <v>1.6107850666188304</v>
      </c>
      <c r="I433" s="110">
        <v>11728.65</v>
      </c>
      <c r="J433" s="110">
        <v>370.61540000000002</v>
      </c>
      <c r="K433" s="110">
        <v>0.83767721539634066</v>
      </c>
      <c r="L433" s="110">
        <v>1.5624468149252952</v>
      </c>
      <c r="M433" s="110"/>
      <c r="N433" s="110"/>
      <c r="O433" s="110"/>
      <c r="P433" s="110">
        <v>57.88655</v>
      </c>
      <c r="Q433" s="110"/>
      <c r="R433" s="110"/>
      <c r="S433" s="110"/>
      <c r="T433" s="110"/>
    </row>
    <row r="434" spans="1:20">
      <c r="A434" s="110" t="s">
        <v>44</v>
      </c>
      <c r="B434" s="110" t="s">
        <v>109</v>
      </c>
      <c r="C434" s="110">
        <v>10160</v>
      </c>
      <c r="D434" s="110">
        <v>24.95599</v>
      </c>
      <c r="E434" s="110">
        <v>7142</v>
      </c>
      <c r="F434" s="110">
        <v>322.33999999999997</v>
      </c>
      <c r="G434" s="110">
        <v>0.80310040469790345</v>
      </c>
      <c r="H434" s="110">
        <v>1.6107850666188304</v>
      </c>
      <c r="I434" s="110">
        <v>11155.52</v>
      </c>
      <c r="J434" s="110">
        <v>367.96249999999998</v>
      </c>
      <c r="K434" s="110">
        <v>0.8407128489513892</v>
      </c>
      <c r="L434" s="110">
        <v>1.54241776527049</v>
      </c>
      <c r="M434" s="110"/>
      <c r="N434" s="110"/>
      <c r="O434" s="110"/>
      <c r="P434" s="110">
        <v>59.180759999999999</v>
      </c>
      <c r="Q434" s="110"/>
      <c r="R434" s="110"/>
      <c r="S434" s="110"/>
      <c r="T434" s="110"/>
    </row>
    <row r="435" spans="1:20">
      <c r="A435" s="110" t="s">
        <v>44</v>
      </c>
      <c r="B435" s="110" t="s">
        <v>109</v>
      </c>
      <c r="C435" s="110">
        <v>10160</v>
      </c>
      <c r="D435" s="110">
        <v>24.95599</v>
      </c>
      <c r="E435" s="110">
        <v>7142</v>
      </c>
      <c r="F435" s="110">
        <v>322.33999999999997</v>
      </c>
      <c r="G435" s="110">
        <v>0.80310040469790345</v>
      </c>
      <c r="H435" s="110">
        <v>1.6107850666188304</v>
      </c>
      <c r="I435" s="110">
        <v>10869.94</v>
      </c>
      <c r="J435" s="110">
        <v>366.62119999999999</v>
      </c>
      <c r="K435" s="110">
        <v>0.84050055333732576</v>
      </c>
      <c r="L435" s="110">
        <v>1.5470261190841483</v>
      </c>
      <c r="M435" s="110"/>
      <c r="N435" s="110"/>
      <c r="O435" s="110"/>
      <c r="P435" s="110">
        <v>59.75423</v>
      </c>
      <c r="Q435" s="110"/>
      <c r="R435" s="110"/>
      <c r="S435" s="110"/>
      <c r="T435" s="110"/>
    </row>
    <row r="436" spans="1:20">
      <c r="A436" s="110" t="s">
        <v>44</v>
      </c>
      <c r="B436" s="110" t="s">
        <v>109</v>
      </c>
      <c r="C436" s="110">
        <v>10160</v>
      </c>
      <c r="D436" s="110">
        <v>24.95599</v>
      </c>
      <c r="E436" s="110">
        <v>7142</v>
      </c>
      <c r="F436" s="110">
        <v>322.33999999999997</v>
      </c>
      <c r="G436" s="110">
        <v>0.80310040469790345</v>
      </c>
      <c r="H436" s="110">
        <v>1.6107850666188304</v>
      </c>
      <c r="I436" s="110">
        <v>10323.73</v>
      </c>
      <c r="J436" s="110">
        <v>364.00850000000003</v>
      </c>
      <c r="K436" s="110">
        <v>0.84019009124574684</v>
      </c>
      <c r="L436" s="110">
        <v>1.5285403355472105</v>
      </c>
      <c r="M436" s="110"/>
      <c r="N436" s="110"/>
      <c r="O436" s="110"/>
      <c r="P436" s="110">
        <v>60.762180000000001</v>
      </c>
      <c r="Q436" s="110"/>
      <c r="R436" s="110"/>
      <c r="S436" s="110"/>
      <c r="T436" s="110"/>
    </row>
    <row r="437" spans="1:20">
      <c r="A437" s="110" t="s">
        <v>44</v>
      </c>
      <c r="B437" s="110" t="s">
        <v>109</v>
      </c>
      <c r="C437" s="110">
        <v>10160</v>
      </c>
      <c r="D437" s="110">
        <v>24.95599</v>
      </c>
      <c r="E437" s="110">
        <v>7142</v>
      </c>
      <c r="F437" s="110">
        <v>322.33999999999997</v>
      </c>
      <c r="G437" s="110">
        <v>0.80310040469790345</v>
      </c>
      <c r="H437" s="110">
        <v>1.6107850666188304</v>
      </c>
      <c r="I437" s="110">
        <v>10286.26</v>
      </c>
      <c r="J437" s="110">
        <v>363.82850000000002</v>
      </c>
      <c r="K437" s="110">
        <v>0.84057235381964879</v>
      </c>
      <c r="L437" s="110">
        <v>1.5288650846388783</v>
      </c>
      <c r="M437" s="110"/>
      <c r="N437" s="110"/>
      <c r="O437" s="110"/>
      <c r="P437" s="110">
        <v>60.826079999999997</v>
      </c>
      <c r="Q437" s="110"/>
      <c r="R437" s="110"/>
      <c r="S437" s="110"/>
      <c r="T437" s="110"/>
    </row>
    <row r="438" spans="1:20">
      <c r="A438" s="110" t="s">
        <v>44</v>
      </c>
      <c r="B438" s="110" t="s">
        <v>109</v>
      </c>
      <c r="C438" s="110">
        <v>9525</v>
      </c>
      <c r="D438" s="110">
        <v>24.95599</v>
      </c>
      <c r="E438" s="110">
        <v>7142</v>
      </c>
      <c r="F438" s="110">
        <v>322.33999999999997</v>
      </c>
      <c r="G438" s="110">
        <v>0.80310040469790345</v>
      </c>
      <c r="H438" s="110">
        <v>1.6107850666188304</v>
      </c>
      <c r="I438" s="110">
        <v>14353.54</v>
      </c>
      <c r="J438" s="110">
        <v>385.10539999999997</v>
      </c>
      <c r="K438" s="110">
        <v>0.85189089902609616</v>
      </c>
      <c r="L438" s="110">
        <v>1.5505200308232863</v>
      </c>
      <c r="M438" s="110"/>
      <c r="N438" s="110"/>
      <c r="O438" s="110"/>
      <c r="P438" s="110">
        <v>29.40597</v>
      </c>
      <c r="Q438" s="110"/>
      <c r="R438" s="110"/>
      <c r="S438" s="110"/>
      <c r="T438" s="110"/>
    </row>
    <row r="439" spans="1:20">
      <c r="A439" s="110" t="s">
        <v>44</v>
      </c>
      <c r="B439" s="110" t="s">
        <v>109</v>
      </c>
      <c r="C439" s="110">
        <v>9525</v>
      </c>
      <c r="D439" s="110">
        <v>24.95599</v>
      </c>
      <c r="E439" s="110">
        <v>7142</v>
      </c>
      <c r="F439" s="110">
        <v>322.33999999999997</v>
      </c>
      <c r="G439" s="110">
        <v>0.80310040469790345</v>
      </c>
      <c r="H439" s="110">
        <v>1.6107850666188304</v>
      </c>
      <c r="I439" s="110">
        <v>14334.84</v>
      </c>
      <c r="J439" s="110">
        <v>384.89920000000001</v>
      </c>
      <c r="K439" s="110">
        <v>0.8516780769081328</v>
      </c>
      <c r="L439" s="110">
        <v>1.5512604830529217</v>
      </c>
      <c r="M439" s="110"/>
      <c r="N439" s="110"/>
      <c r="O439" s="110"/>
      <c r="P439" s="110">
        <v>29.785820000000001</v>
      </c>
      <c r="Q439" s="110"/>
      <c r="R439" s="110"/>
      <c r="S439" s="110"/>
      <c r="T439" s="110"/>
    </row>
    <row r="440" spans="1:20">
      <c r="A440" s="110" t="s">
        <v>44</v>
      </c>
      <c r="B440" s="110" t="s">
        <v>109</v>
      </c>
      <c r="C440" s="110">
        <v>9525</v>
      </c>
      <c r="D440" s="110">
        <v>24.95599</v>
      </c>
      <c r="E440" s="110">
        <v>7142</v>
      </c>
      <c r="F440" s="110">
        <v>322.33999999999997</v>
      </c>
      <c r="G440" s="110">
        <v>0.80310040469790345</v>
      </c>
      <c r="H440" s="110">
        <v>1.6107850666188304</v>
      </c>
      <c r="I440" s="110">
        <v>14325.22</v>
      </c>
      <c r="J440" s="110">
        <v>384.7953</v>
      </c>
      <c r="K440" s="110">
        <v>0.85157137740744582</v>
      </c>
      <c r="L440" s="110">
        <v>1.551630388386517</v>
      </c>
      <c r="M440" s="110"/>
      <c r="N440" s="110"/>
      <c r="O440" s="110"/>
      <c r="P440" s="110">
        <v>29.975739999999998</v>
      </c>
      <c r="Q440" s="110"/>
      <c r="R440" s="110"/>
      <c r="S440" s="110"/>
      <c r="T440" s="110"/>
    </row>
    <row r="441" spans="1:20">
      <c r="A441" s="110" t="s">
        <v>44</v>
      </c>
      <c r="B441" s="110" t="s">
        <v>109</v>
      </c>
      <c r="C441" s="110">
        <v>9525</v>
      </c>
      <c r="D441" s="110">
        <v>24.95599</v>
      </c>
      <c r="E441" s="110">
        <v>7142</v>
      </c>
      <c r="F441" s="110">
        <v>322.33999999999997</v>
      </c>
      <c r="G441" s="110">
        <v>0.80310040469790345</v>
      </c>
      <c r="H441" s="110">
        <v>1.6107850666188304</v>
      </c>
      <c r="I441" s="110">
        <v>14274.289999999999</v>
      </c>
      <c r="J441" s="110">
        <v>384.27179999999998</v>
      </c>
      <c r="K441" s="110">
        <v>0.85104167927673458</v>
      </c>
      <c r="L441" s="110">
        <v>1.5534532689400447</v>
      </c>
      <c r="M441" s="110"/>
      <c r="N441" s="110"/>
      <c r="O441" s="110"/>
      <c r="P441" s="110">
        <v>30.91159</v>
      </c>
      <c r="Q441" s="110"/>
      <c r="R441" s="110"/>
      <c r="S441" s="110"/>
      <c r="T441" s="110"/>
    </row>
    <row r="442" spans="1:20">
      <c r="A442" s="110" t="s">
        <v>44</v>
      </c>
      <c r="B442" s="110" t="s">
        <v>109</v>
      </c>
      <c r="C442" s="110">
        <v>9525</v>
      </c>
      <c r="D442" s="110">
        <v>24.95599</v>
      </c>
      <c r="E442" s="110">
        <v>7142</v>
      </c>
      <c r="F442" s="110">
        <v>322.33999999999997</v>
      </c>
      <c r="G442" s="110">
        <v>0.80310040469790345</v>
      </c>
      <c r="H442" s="110">
        <v>1.6107850666188304</v>
      </c>
      <c r="I442" s="110">
        <v>14149.81</v>
      </c>
      <c r="J442" s="110">
        <v>383.11040000000003</v>
      </c>
      <c r="K442" s="110">
        <v>0.84971811707463962</v>
      </c>
      <c r="L442" s="110">
        <v>1.5570094585211223</v>
      </c>
      <c r="M442" s="110"/>
      <c r="N442" s="110"/>
      <c r="O442" s="110"/>
      <c r="P442" s="110">
        <v>32.897460000000002</v>
      </c>
      <c r="Q442" s="110"/>
      <c r="R442" s="110"/>
      <c r="S442" s="110"/>
      <c r="T442" s="110"/>
    </row>
    <row r="443" spans="1:20">
      <c r="A443" s="110" t="s">
        <v>44</v>
      </c>
      <c r="B443" s="110" t="s">
        <v>109</v>
      </c>
      <c r="C443" s="110">
        <v>9525</v>
      </c>
      <c r="D443" s="110">
        <v>24.95599</v>
      </c>
      <c r="E443" s="110">
        <v>7142</v>
      </c>
      <c r="F443" s="110">
        <v>322.33999999999997</v>
      </c>
      <c r="G443" s="110">
        <v>0.80310040469790345</v>
      </c>
      <c r="H443" s="110">
        <v>1.6107850666188304</v>
      </c>
      <c r="I443" s="110">
        <v>13924.91</v>
      </c>
      <c r="J443" s="110">
        <v>381.26069999999999</v>
      </c>
      <c r="K443" s="110">
        <v>0.84744764908548043</v>
      </c>
      <c r="L443" s="110">
        <v>1.5622684214833948</v>
      </c>
      <c r="M443" s="110"/>
      <c r="N443" s="110"/>
      <c r="O443" s="110"/>
      <c r="P443" s="110">
        <v>35.918790000000001</v>
      </c>
      <c r="Q443" s="110"/>
      <c r="R443" s="110"/>
      <c r="S443" s="110"/>
      <c r="T443" s="110"/>
    </row>
    <row r="444" spans="1:20">
      <c r="A444" s="110" t="s">
        <v>44</v>
      </c>
      <c r="B444" s="110" t="s">
        <v>109</v>
      </c>
      <c r="C444" s="110">
        <v>9525</v>
      </c>
      <c r="D444" s="110">
        <v>24.95599</v>
      </c>
      <c r="E444" s="110">
        <v>7142</v>
      </c>
      <c r="F444" s="110">
        <v>322.33999999999997</v>
      </c>
      <c r="G444" s="110">
        <v>0.80310040469790345</v>
      </c>
      <c r="H444" s="110">
        <v>1.6107850666188304</v>
      </c>
      <c r="I444" s="110">
        <v>13780.6</v>
      </c>
      <c r="J444" s="110">
        <v>380.20139999999998</v>
      </c>
      <c r="K444" s="110">
        <v>0.84600350089130882</v>
      </c>
      <c r="L444" s="110">
        <v>1.5650379082125088</v>
      </c>
      <c r="M444" s="110"/>
      <c r="N444" s="110"/>
      <c r="O444" s="110"/>
      <c r="P444" s="110">
        <v>37.55782</v>
      </c>
      <c r="Q444" s="110"/>
      <c r="R444" s="110"/>
      <c r="S444" s="110"/>
      <c r="T444" s="110"/>
    </row>
    <row r="445" spans="1:20">
      <c r="A445" s="110" t="s">
        <v>44</v>
      </c>
      <c r="B445" s="110" t="s">
        <v>109</v>
      </c>
      <c r="C445" s="110">
        <v>9525</v>
      </c>
      <c r="D445" s="110">
        <v>24.95599</v>
      </c>
      <c r="E445" s="110">
        <v>7142</v>
      </c>
      <c r="F445" s="110">
        <v>322.33999999999997</v>
      </c>
      <c r="G445" s="110">
        <v>0.80310040469790345</v>
      </c>
      <c r="H445" s="110">
        <v>1.6107850666188304</v>
      </c>
      <c r="I445" s="110">
        <v>13539.539999999999</v>
      </c>
      <c r="J445" s="110">
        <v>378.57049999999998</v>
      </c>
      <c r="K445" s="110">
        <v>0.84344876314832817</v>
      </c>
      <c r="L445" s="110">
        <v>1.5689844064067995</v>
      </c>
      <c r="M445" s="110"/>
      <c r="N445" s="110"/>
      <c r="O445" s="110"/>
      <c r="P445" s="110">
        <v>39.940950000000001</v>
      </c>
      <c r="Q445" s="110"/>
      <c r="R445" s="110"/>
      <c r="S445" s="110"/>
      <c r="T445" s="110"/>
    </row>
    <row r="446" spans="1:20">
      <c r="A446" s="110" t="s">
        <v>44</v>
      </c>
      <c r="B446" s="110" t="s">
        <v>109</v>
      </c>
      <c r="C446" s="110">
        <v>9525</v>
      </c>
      <c r="D446" s="110">
        <v>24.95599</v>
      </c>
      <c r="E446" s="110">
        <v>7142</v>
      </c>
      <c r="F446" s="110">
        <v>322.33999999999997</v>
      </c>
      <c r="G446" s="110">
        <v>0.80310040469790345</v>
      </c>
      <c r="H446" s="110">
        <v>1.6107850666188304</v>
      </c>
      <c r="I446" s="110">
        <v>13407.710000000001</v>
      </c>
      <c r="J446" s="110">
        <v>377.72680000000003</v>
      </c>
      <c r="K446" s="110">
        <v>0.84192694807110358</v>
      </c>
      <c r="L446" s="110">
        <v>1.570899193918653</v>
      </c>
      <c r="M446" s="110"/>
      <c r="N446" s="110"/>
      <c r="O446" s="110"/>
      <c r="P446" s="110">
        <v>41.09084</v>
      </c>
      <c r="Q446" s="110"/>
      <c r="R446" s="110"/>
      <c r="S446" s="110"/>
      <c r="T446" s="110"/>
    </row>
    <row r="447" spans="1:20">
      <c r="A447" s="110" t="s">
        <v>44</v>
      </c>
      <c r="B447" s="110" t="s">
        <v>109</v>
      </c>
      <c r="C447" s="110">
        <v>9525</v>
      </c>
      <c r="D447" s="110">
        <v>24.95599</v>
      </c>
      <c r="E447" s="110">
        <v>7142</v>
      </c>
      <c r="F447" s="110">
        <v>322.33999999999997</v>
      </c>
      <c r="G447" s="110">
        <v>0.80310040469790345</v>
      </c>
      <c r="H447" s="110">
        <v>1.6107850666188304</v>
      </c>
      <c r="I447" s="110">
        <v>13172.53</v>
      </c>
      <c r="J447" s="110">
        <v>376.28699999999998</v>
      </c>
      <c r="K447" s="110">
        <v>0.83895632893758443</v>
      </c>
      <c r="L447" s="110">
        <v>1.5739684736744364</v>
      </c>
      <c r="M447" s="110"/>
      <c r="N447" s="110"/>
      <c r="O447" s="110"/>
      <c r="P447" s="110">
        <v>42.95373</v>
      </c>
      <c r="Q447" s="110"/>
      <c r="R447" s="110"/>
      <c r="S447" s="110"/>
      <c r="T447" s="110"/>
    </row>
    <row r="448" spans="1:20">
      <c r="A448" s="110" t="s">
        <v>44</v>
      </c>
      <c r="B448" s="110" t="s">
        <v>109</v>
      </c>
      <c r="C448" s="110">
        <v>9525</v>
      </c>
      <c r="D448" s="110">
        <v>24.95599</v>
      </c>
      <c r="E448" s="110">
        <v>7142</v>
      </c>
      <c r="F448" s="110">
        <v>322.33999999999997</v>
      </c>
      <c r="G448" s="110">
        <v>0.80310040469790345</v>
      </c>
      <c r="H448" s="110">
        <v>1.6107850666188304</v>
      </c>
      <c r="I448" s="110">
        <v>13044.710000000001</v>
      </c>
      <c r="J448" s="110">
        <v>375.52940000000001</v>
      </c>
      <c r="K448" s="110">
        <v>0.83822994627045067</v>
      </c>
      <c r="L448" s="110">
        <v>1.561142505807247</v>
      </c>
      <c r="M448" s="110"/>
      <c r="N448" s="110"/>
      <c r="O448" s="110"/>
      <c r="P448" s="110">
        <v>43.88308</v>
      </c>
      <c r="Q448" s="110"/>
      <c r="R448" s="110"/>
      <c r="S448" s="110"/>
      <c r="T448" s="110"/>
    </row>
    <row r="449" spans="1:20">
      <c r="A449" s="110" t="s">
        <v>44</v>
      </c>
      <c r="B449" s="110" t="s">
        <v>109</v>
      </c>
      <c r="C449" s="110">
        <v>9525</v>
      </c>
      <c r="D449" s="110">
        <v>24.95599</v>
      </c>
      <c r="E449" s="110">
        <v>7142</v>
      </c>
      <c r="F449" s="110">
        <v>322.33999999999997</v>
      </c>
      <c r="G449" s="110">
        <v>0.80310040469790345</v>
      </c>
      <c r="H449" s="110">
        <v>1.6107850666188304</v>
      </c>
      <c r="I449" s="110">
        <v>12624.08</v>
      </c>
      <c r="J449" s="110">
        <v>373.17110000000002</v>
      </c>
      <c r="K449" s="110">
        <v>0.83873681370274888</v>
      </c>
      <c r="L449" s="110">
        <v>1.5664349261256472</v>
      </c>
      <c r="M449" s="110"/>
      <c r="N449" s="110"/>
      <c r="O449" s="110"/>
      <c r="P449" s="110">
        <v>46.511650000000003</v>
      </c>
      <c r="Q449" s="110"/>
      <c r="R449" s="110"/>
      <c r="S449" s="110"/>
      <c r="T449" s="110"/>
    </row>
    <row r="450" spans="1:20">
      <c r="A450" s="110" t="s">
        <v>44</v>
      </c>
      <c r="B450" s="110" t="s">
        <v>109</v>
      </c>
      <c r="C450" s="110">
        <v>9525</v>
      </c>
      <c r="D450" s="110">
        <v>24.95599</v>
      </c>
      <c r="E450" s="110">
        <v>7142</v>
      </c>
      <c r="F450" s="110">
        <v>322.33999999999997</v>
      </c>
      <c r="G450" s="110">
        <v>0.80310040469790345</v>
      </c>
      <c r="H450" s="110">
        <v>1.6107850666188304</v>
      </c>
      <c r="I450" s="110">
        <v>12405.64</v>
      </c>
      <c r="J450" s="110">
        <v>372.01510000000002</v>
      </c>
      <c r="K450" s="110">
        <v>0.83819838184930229</v>
      </c>
      <c r="L450" s="110">
        <v>1.5685908745579171</v>
      </c>
      <c r="M450" s="110"/>
      <c r="N450" s="110"/>
      <c r="O450" s="110"/>
      <c r="P450" s="110">
        <v>47.647829999999999</v>
      </c>
      <c r="Q450" s="110"/>
      <c r="R450" s="110"/>
      <c r="S450" s="110"/>
      <c r="T450" s="110"/>
    </row>
    <row r="451" spans="1:20">
      <c r="A451" s="110" t="s">
        <v>44</v>
      </c>
      <c r="B451" s="110" t="s">
        <v>109</v>
      </c>
      <c r="C451" s="110">
        <v>9525</v>
      </c>
      <c r="D451" s="110">
        <v>24.95599</v>
      </c>
      <c r="E451" s="110">
        <v>7142</v>
      </c>
      <c r="F451" s="110">
        <v>322.33999999999997</v>
      </c>
      <c r="G451" s="110">
        <v>0.80310040469790345</v>
      </c>
      <c r="H451" s="110">
        <v>1.6107850666188304</v>
      </c>
      <c r="I451" s="110">
        <v>11962.94</v>
      </c>
      <c r="J451" s="110">
        <v>369.74549999999999</v>
      </c>
      <c r="K451" s="110">
        <v>0.83560397845356138</v>
      </c>
      <c r="L451" s="110">
        <v>1.5726111050949814</v>
      </c>
      <c r="M451" s="110"/>
      <c r="N451" s="110"/>
      <c r="O451" s="110"/>
      <c r="P451" s="110">
        <v>49.632629999999999</v>
      </c>
      <c r="Q451" s="110"/>
      <c r="R451" s="110"/>
      <c r="S451" s="110"/>
      <c r="T451" s="110"/>
    </row>
    <row r="452" spans="1:20">
      <c r="A452" s="110" t="s">
        <v>44</v>
      </c>
      <c r="B452" s="110" t="s">
        <v>109</v>
      </c>
      <c r="C452" s="110">
        <v>9525</v>
      </c>
      <c r="D452" s="110">
        <v>24.95599</v>
      </c>
      <c r="E452" s="110">
        <v>7142</v>
      </c>
      <c r="F452" s="110">
        <v>322.33999999999997</v>
      </c>
      <c r="G452" s="110">
        <v>0.80310040469790345</v>
      </c>
      <c r="H452" s="110">
        <v>1.6107850666188304</v>
      </c>
      <c r="I452" s="110">
        <v>11719.26</v>
      </c>
      <c r="J452" s="110">
        <v>368.52179999999998</v>
      </c>
      <c r="K452" s="110">
        <v>0.83330523594299322</v>
      </c>
      <c r="L452" s="110">
        <v>1.5515857424561668</v>
      </c>
      <c r="M452" s="110"/>
      <c r="N452" s="110"/>
      <c r="O452" s="110"/>
      <c r="P452" s="110">
        <v>50.578009999999999</v>
      </c>
      <c r="Q452" s="110"/>
      <c r="R452" s="110"/>
      <c r="S452" s="110"/>
      <c r="T452" s="110"/>
    </row>
    <row r="453" spans="1:20">
      <c r="A453" s="110" t="s">
        <v>44</v>
      </c>
      <c r="B453" s="110" t="s">
        <v>109</v>
      </c>
      <c r="C453" s="110">
        <v>9525</v>
      </c>
      <c r="D453" s="110">
        <v>24.95599</v>
      </c>
      <c r="E453" s="110">
        <v>7142</v>
      </c>
      <c r="F453" s="110">
        <v>322.33999999999997</v>
      </c>
      <c r="G453" s="110">
        <v>0.80310040469790345</v>
      </c>
      <c r="H453" s="110">
        <v>1.6107850666188304</v>
      </c>
      <c r="I453" s="110">
        <v>11250.18</v>
      </c>
      <c r="J453" s="110">
        <v>366.18110000000001</v>
      </c>
      <c r="K453" s="110">
        <v>0.8359451034751203</v>
      </c>
      <c r="L453" s="110">
        <v>1.5558438129787839</v>
      </c>
      <c r="M453" s="110"/>
      <c r="N453" s="110"/>
      <c r="O453" s="110"/>
      <c r="P453" s="110">
        <v>52.162730000000003</v>
      </c>
      <c r="Q453" s="110"/>
      <c r="R453" s="110"/>
      <c r="S453" s="110"/>
      <c r="T453" s="110"/>
    </row>
    <row r="454" spans="1:20">
      <c r="A454" s="110" t="s">
        <v>44</v>
      </c>
      <c r="B454" s="110" t="s">
        <v>109</v>
      </c>
      <c r="C454" s="110">
        <v>9525</v>
      </c>
      <c r="D454" s="110">
        <v>24.95599</v>
      </c>
      <c r="E454" s="110">
        <v>7142</v>
      </c>
      <c r="F454" s="110">
        <v>322.33999999999997</v>
      </c>
      <c r="G454" s="110">
        <v>0.80310040469790345</v>
      </c>
      <c r="H454" s="110">
        <v>1.6107850666188304</v>
      </c>
      <c r="I454" s="110">
        <v>11002.960000000001</v>
      </c>
      <c r="J454" s="110">
        <v>364.95089999999999</v>
      </c>
      <c r="K454" s="110">
        <v>0.83607298431564758</v>
      </c>
      <c r="L454" s="110">
        <v>1.5580432584962427</v>
      </c>
      <c r="M454" s="110"/>
      <c r="N454" s="110"/>
      <c r="O454" s="110"/>
      <c r="P454" s="110">
        <v>52.896920000000001</v>
      </c>
      <c r="Q454" s="110"/>
      <c r="R454" s="110"/>
      <c r="S454" s="110"/>
      <c r="T454" s="110"/>
    </row>
    <row r="455" spans="1:20">
      <c r="A455" s="110" t="s">
        <v>44</v>
      </c>
      <c r="B455" s="110" t="s">
        <v>109</v>
      </c>
      <c r="C455" s="110">
        <v>9525</v>
      </c>
      <c r="D455" s="110">
        <v>24.95599</v>
      </c>
      <c r="E455" s="110">
        <v>7142</v>
      </c>
      <c r="F455" s="110">
        <v>322.33999999999997</v>
      </c>
      <c r="G455" s="110">
        <v>0.80310040469790345</v>
      </c>
      <c r="H455" s="110">
        <v>1.6107850666188304</v>
      </c>
      <c r="I455" s="110">
        <v>10521.79</v>
      </c>
      <c r="J455" s="110">
        <v>362.57139999999998</v>
      </c>
      <c r="K455" s="110">
        <v>0.83373959505683026</v>
      </c>
      <c r="L455" s="110">
        <v>1.5621133903358708</v>
      </c>
      <c r="M455" s="110"/>
      <c r="N455" s="110"/>
      <c r="O455" s="110"/>
      <c r="P455" s="110">
        <v>54.138460000000002</v>
      </c>
      <c r="Q455" s="110"/>
      <c r="R455" s="110"/>
      <c r="S455" s="110"/>
      <c r="T455" s="110"/>
    </row>
    <row r="456" spans="1:20">
      <c r="A456" s="110" t="s">
        <v>44</v>
      </c>
      <c r="B456" s="110" t="s">
        <v>109</v>
      </c>
      <c r="C456" s="110">
        <v>9525</v>
      </c>
      <c r="D456" s="110">
        <v>24.95599</v>
      </c>
      <c r="E456" s="110">
        <v>7142</v>
      </c>
      <c r="F456" s="110">
        <v>322.33999999999997</v>
      </c>
      <c r="G456" s="110">
        <v>0.80310040469790345</v>
      </c>
      <c r="H456" s="110">
        <v>1.6107850666188304</v>
      </c>
      <c r="I456" s="110">
        <v>10281.86</v>
      </c>
      <c r="J456" s="110">
        <v>361.37299999999999</v>
      </c>
      <c r="K456" s="110">
        <v>0.83550380991981721</v>
      </c>
      <c r="L456" s="110">
        <v>1.5409282360126273</v>
      </c>
      <c r="M456" s="110"/>
      <c r="N456" s="110"/>
      <c r="O456" s="110"/>
      <c r="P456" s="110">
        <v>54.69115</v>
      </c>
      <c r="Q456" s="110"/>
      <c r="R456" s="110"/>
      <c r="S456" s="110"/>
      <c r="T456" s="110"/>
    </row>
    <row r="457" spans="1:20">
      <c r="A457" s="110" t="s">
        <v>44</v>
      </c>
      <c r="B457" s="110" t="s">
        <v>109</v>
      </c>
      <c r="C457" s="110">
        <v>9525</v>
      </c>
      <c r="D457" s="110">
        <v>24.95599</v>
      </c>
      <c r="E457" s="110">
        <v>7142</v>
      </c>
      <c r="F457" s="110">
        <v>322.33999999999997</v>
      </c>
      <c r="G457" s="110">
        <v>0.80310040469790345</v>
      </c>
      <c r="H457" s="110">
        <v>1.6107850666188304</v>
      </c>
      <c r="I457" s="110">
        <v>10058.450000000001</v>
      </c>
      <c r="J457" s="110">
        <v>360.255</v>
      </c>
      <c r="K457" s="110">
        <v>0.83701204372739868</v>
      </c>
      <c r="L457" s="110">
        <v>1.5444783255211234</v>
      </c>
      <c r="M457" s="110"/>
      <c r="N457" s="110"/>
      <c r="O457" s="110"/>
      <c r="P457" s="110">
        <v>55.180160000000001</v>
      </c>
      <c r="Q457" s="110"/>
      <c r="R457" s="110"/>
      <c r="S457" s="110"/>
      <c r="T457" s="110"/>
    </row>
    <row r="458" spans="1:20">
      <c r="A458" s="110" t="s">
        <v>44</v>
      </c>
      <c r="B458" s="110" t="s">
        <v>109</v>
      </c>
      <c r="C458" s="110">
        <v>9525</v>
      </c>
      <c r="D458" s="110">
        <v>24.95599</v>
      </c>
      <c r="E458" s="110">
        <v>7142</v>
      </c>
      <c r="F458" s="110">
        <v>322.33999999999997</v>
      </c>
      <c r="G458" s="110">
        <v>0.80310040469790345</v>
      </c>
      <c r="H458" s="110">
        <v>1.6107850666188304</v>
      </c>
      <c r="I458" s="110">
        <v>9970</v>
      </c>
      <c r="J458" s="110">
        <v>359.81060000000002</v>
      </c>
      <c r="K458" s="110">
        <v>0.83735635417377918</v>
      </c>
      <c r="L458" s="110">
        <v>1.5454825101351659</v>
      </c>
      <c r="M458" s="110"/>
      <c r="N458" s="110"/>
      <c r="O458" s="110"/>
      <c r="P458" s="110">
        <v>55.36824</v>
      </c>
      <c r="Q458" s="110"/>
      <c r="R458" s="110"/>
      <c r="S458" s="110"/>
      <c r="T458" s="110"/>
    </row>
    <row r="459" spans="1:20">
      <c r="A459" s="110" t="s">
        <v>44</v>
      </c>
      <c r="B459" s="110" t="s">
        <v>109</v>
      </c>
      <c r="C459" s="110">
        <v>9525</v>
      </c>
      <c r="D459" s="110">
        <v>24.95599</v>
      </c>
      <c r="E459" s="110">
        <v>7142</v>
      </c>
      <c r="F459" s="110">
        <v>322.33999999999997</v>
      </c>
      <c r="G459" s="110">
        <v>0.80310040469790345</v>
      </c>
      <c r="H459" s="110">
        <v>1.6107850666188304</v>
      </c>
      <c r="I459" s="110">
        <v>9950.2970000000005</v>
      </c>
      <c r="J459" s="110">
        <v>359.7115</v>
      </c>
      <c r="K459" s="110">
        <v>0.83741361033528305</v>
      </c>
      <c r="L459" s="110">
        <v>1.5457088230794345</v>
      </c>
      <c r="M459" s="110"/>
      <c r="N459" s="110"/>
      <c r="O459" s="110"/>
      <c r="P459" s="110">
        <v>55.409750000000003</v>
      </c>
      <c r="Q459" s="110"/>
      <c r="R459" s="110"/>
      <c r="S459" s="110"/>
      <c r="T459" s="110"/>
    </row>
    <row r="460" spans="1:20">
      <c r="A460" s="110" t="s">
        <v>44</v>
      </c>
      <c r="B460" s="110" t="s">
        <v>109</v>
      </c>
      <c r="C460" s="110">
        <v>8890</v>
      </c>
      <c r="D460" s="110">
        <v>24.95599</v>
      </c>
      <c r="E460" s="110">
        <v>7142</v>
      </c>
      <c r="F460" s="110">
        <v>322.33999999999997</v>
      </c>
      <c r="G460" s="110">
        <v>0.80310040469790345</v>
      </c>
      <c r="H460" s="110">
        <v>1.6107850666188304</v>
      </c>
      <c r="I460" s="110">
        <v>13159.25</v>
      </c>
      <c r="J460" s="110">
        <v>377.72370000000001</v>
      </c>
      <c r="K460" s="110">
        <v>0.84180809432082515</v>
      </c>
      <c r="L460" s="110">
        <v>1.5659872033566296</v>
      </c>
      <c r="M460" s="110"/>
      <c r="N460" s="110"/>
      <c r="O460" s="110"/>
      <c r="P460" s="110">
        <v>27.086849999999998</v>
      </c>
      <c r="Q460" s="110"/>
      <c r="R460" s="110"/>
      <c r="S460" s="110"/>
      <c r="T460" s="110"/>
    </row>
    <row r="461" spans="1:20">
      <c r="A461" s="110" t="s">
        <v>44</v>
      </c>
      <c r="B461" s="110" t="s">
        <v>109</v>
      </c>
      <c r="C461" s="110">
        <v>8890</v>
      </c>
      <c r="D461" s="110">
        <v>24.95599</v>
      </c>
      <c r="E461" s="110">
        <v>7142</v>
      </c>
      <c r="F461" s="110">
        <v>322.33999999999997</v>
      </c>
      <c r="G461" s="110">
        <v>0.80310040469790345</v>
      </c>
      <c r="H461" s="110">
        <v>1.6107850666188304</v>
      </c>
      <c r="I461" s="110">
        <v>13137.6</v>
      </c>
      <c r="J461" s="110">
        <v>377.47550000000001</v>
      </c>
      <c r="K461" s="110">
        <v>0.84127654105692729</v>
      </c>
      <c r="L461" s="110">
        <v>1.5668791452119391</v>
      </c>
      <c r="M461" s="110"/>
      <c r="N461" s="110"/>
      <c r="O461" s="110"/>
      <c r="P461" s="110">
        <v>27.50834</v>
      </c>
      <c r="Q461" s="110"/>
      <c r="R461" s="110"/>
      <c r="S461" s="110"/>
      <c r="T461" s="110"/>
    </row>
    <row r="462" spans="1:20">
      <c r="A462" s="110" t="s">
        <v>44</v>
      </c>
      <c r="B462" s="110" t="s">
        <v>109</v>
      </c>
      <c r="C462" s="110">
        <v>8890</v>
      </c>
      <c r="D462" s="110">
        <v>24.95599</v>
      </c>
      <c r="E462" s="110">
        <v>7142</v>
      </c>
      <c r="F462" s="110">
        <v>322.33999999999997</v>
      </c>
      <c r="G462" s="110">
        <v>0.80310040469790345</v>
      </c>
      <c r="H462" s="110">
        <v>1.6107850666188304</v>
      </c>
      <c r="I462" s="110">
        <v>13126.949999999999</v>
      </c>
      <c r="J462" s="110">
        <v>377.35399999999998</v>
      </c>
      <c r="K462" s="110">
        <v>0.84101467728549117</v>
      </c>
      <c r="L462" s="110">
        <v>1.5673154278242036</v>
      </c>
      <c r="M462" s="110"/>
      <c r="N462" s="110"/>
      <c r="O462" s="110"/>
      <c r="P462" s="110">
        <v>27.719090000000001</v>
      </c>
      <c r="Q462" s="110"/>
      <c r="R462" s="110"/>
      <c r="S462" s="110"/>
      <c r="T462" s="110"/>
    </row>
    <row r="463" spans="1:20">
      <c r="A463" s="110" t="s">
        <v>44</v>
      </c>
      <c r="B463" s="110" t="s">
        <v>109</v>
      </c>
      <c r="C463" s="110">
        <v>8890</v>
      </c>
      <c r="D463" s="110">
        <v>24.95599</v>
      </c>
      <c r="E463" s="110">
        <v>7142</v>
      </c>
      <c r="F463" s="110">
        <v>322.33999999999997</v>
      </c>
      <c r="G463" s="110">
        <v>0.80310040469790345</v>
      </c>
      <c r="H463" s="110">
        <v>1.6107850666188304</v>
      </c>
      <c r="I463" s="110">
        <v>13083.74</v>
      </c>
      <c r="J463" s="110">
        <v>376.87799999999999</v>
      </c>
      <c r="K463" s="110">
        <v>0.84033200403015829</v>
      </c>
      <c r="L463" s="110">
        <v>1.5542592994341915</v>
      </c>
      <c r="M463" s="110"/>
      <c r="N463" s="110"/>
      <c r="O463" s="110"/>
      <c r="P463" s="110">
        <v>28.53783</v>
      </c>
      <c r="Q463" s="110"/>
      <c r="R463" s="110"/>
      <c r="S463" s="110"/>
      <c r="T463" s="110"/>
    </row>
    <row r="464" spans="1:20">
      <c r="A464" s="110" t="s">
        <v>44</v>
      </c>
      <c r="B464" s="110" t="s">
        <v>109</v>
      </c>
      <c r="C464" s="110">
        <v>8890</v>
      </c>
      <c r="D464" s="110">
        <v>24.95599</v>
      </c>
      <c r="E464" s="110">
        <v>7142</v>
      </c>
      <c r="F464" s="110">
        <v>322.33999999999997</v>
      </c>
      <c r="G464" s="110">
        <v>0.80310040469790345</v>
      </c>
      <c r="H464" s="110">
        <v>1.6107850666188304</v>
      </c>
      <c r="I464" s="110">
        <v>12977.529999999999</v>
      </c>
      <c r="J464" s="110">
        <v>375.80619999999999</v>
      </c>
      <c r="K464" s="110">
        <v>0.83976540041474068</v>
      </c>
      <c r="L464" s="110">
        <v>1.5582948458691614</v>
      </c>
      <c r="M464" s="110"/>
      <c r="N464" s="110"/>
      <c r="O464" s="110"/>
      <c r="P464" s="110">
        <v>30.338180000000001</v>
      </c>
      <c r="Q464" s="110"/>
      <c r="R464" s="110"/>
      <c r="S464" s="110"/>
      <c r="T464" s="110"/>
    </row>
    <row r="465" spans="1:20">
      <c r="A465" s="110" t="s">
        <v>44</v>
      </c>
      <c r="B465" s="110" t="s">
        <v>109</v>
      </c>
      <c r="C465" s="110">
        <v>8890</v>
      </c>
      <c r="D465" s="110">
        <v>24.95599</v>
      </c>
      <c r="E465" s="110">
        <v>7142</v>
      </c>
      <c r="F465" s="110">
        <v>322.33999999999997</v>
      </c>
      <c r="G465" s="110">
        <v>0.80310040469790345</v>
      </c>
      <c r="H465" s="110">
        <v>1.6107850666188304</v>
      </c>
      <c r="I465" s="110">
        <v>12779.76</v>
      </c>
      <c r="J465" s="110">
        <v>374.07380000000001</v>
      </c>
      <c r="K465" s="110">
        <v>0.83889593999027778</v>
      </c>
      <c r="L465" s="110">
        <v>1.5643862288922017</v>
      </c>
      <c r="M465" s="110"/>
      <c r="N465" s="110"/>
      <c r="O465" s="110"/>
      <c r="P465" s="110">
        <v>33.092100000000002</v>
      </c>
      <c r="Q465" s="110"/>
      <c r="R465" s="110"/>
      <c r="S465" s="110"/>
      <c r="T465" s="110"/>
    </row>
    <row r="466" spans="1:20">
      <c r="A466" s="110" t="s">
        <v>44</v>
      </c>
      <c r="B466" s="110" t="s">
        <v>109</v>
      </c>
      <c r="C466" s="110">
        <v>8890</v>
      </c>
      <c r="D466" s="110">
        <v>24.95599</v>
      </c>
      <c r="E466" s="110">
        <v>7142</v>
      </c>
      <c r="F466" s="110">
        <v>322.33999999999997</v>
      </c>
      <c r="G466" s="110">
        <v>0.80310040469790345</v>
      </c>
      <c r="H466" s="110">
        <v>1.6107850666188304</v>
      </c>
      <c r="I466" s="110">
        <v>12670.4</v>
      </c>
      <c r="J466" s="110">
        <v>373.21550000000002</v>
      </c>
      <c r="K466" s="110">
        <v>0.83834892996992316</v>
      </c>
      <c r="L466" s="110">
        <v>1.5670986242975635</v>
      </c>
      <c r="M466" s="110"/>
      <c r="N466" s="110"/>
      <c r="O466" s="110"/>
      <c r="P466" s="110">
        <v>34.372669999999999</v>
      </c>
      <c r="Q466" s="110"/>
      <c r="R466" s="110"/>
      <c r="S466" s="110"/>
      <c r="T466" s="110"/>
    </row>
    <row r="467" spans="1:20">
      <c r="A467" s="110" t="s">
        <v>44</v>
      </c>
      <c r="B467" s="110" t="s">
        <v>109</v>
      </c>
      <c r="C467" s="110">
        <v>8890</v>
      </c>
      <c r="D467" s="110">
        <v>24.95599</v>
      </c>
      <c r="E467" s="110">
        <v>7142</v>
      </c>
      <c r="F467" s="110">
        <v>322.33999999999997</v>
      </c>
      <c r="G467" s="110">
        <v>0.80310040469790345</v>
      </c>
      <c r="H467" s="110">
        <v>1.6107850666188304</v>
      </c>
      <c r="I467" s="110">
        <v>12481.06</v>
      </c>
      <c r="J467" s="110">
        <v>371.83089999999999</v>
      </c>
      <c r="K467" s="110">
        <v>0.83719257008678016</v>
      </c>
      <c r="L467" s="110">
        <v>1.5711500521627266</v>
      </c>
      <c r="M467" s="110"/>
      <c r="N467" s="110"/>
      <c r="O467" s="110"/>
      <c r="P467" s="110">
        <v>36.376910000000002</v>
      </c>
      <c r="Q467" s="110"/>
      <c r="R467" s="110"/>
      <c r="S467" s="110"/>
      <c r="T467" s="110"/>
    </row>
    <row r="468" spans="1:20">
      <c r="A468" s="110" t="s">
        <v>44</v>
      </c>
      <c r="B468" s="110" t="s">
        <v>109</v>
      </c>
      <c r="C468" s="110">
        <v>8890</v>
      </c>
      <c r="D468" s="110">
        <v>24.95599</v>
      </c>
      <c r="E468" s="110">
        <v>7142</v>
      </c>
      <c r="F468" s="110">
        <v>322.33999999999997</v>
      </c>
      <c r="G468" s="110">
        <v>0.80310040469790345</v>
      </c>
      <c r="H468" s="110">
        <v>1.6107850666188304</v>
      </c>
      <c r="I468" s="110">
        <v>12367.81</v>
      </c>
      <c r="J468" s="110">
        <v>371.05849999999998</v>
      </c>
      <c r="K468" s="110">
        <v>0.83642814003226618</v>
      </c>
      <c r="L468" s="110">
        <v>1.5732998684506829</v>
      </c>
      <c r="M468" s="110"/>
      <c r="N468" s="110"/>
      <c r="O468" s="110"/>
      <c r="P468" s="110">
        <v>37.436799999999998</v>
      </c>
      <c r="Q468" s="110"/>
      <c r="R468" s="110"/>
      <c r="S468" s="110"/>
      <c r="T468" s="110"/>
    </row>
    <row r="469" spans="1:20">
      <c r="A469" s="110" t="s">
        <v>44</v>
      </c>
      <c r="B469" s="110" t="s">
        <v>109</v>
      </c>
      <c r="C469" s="110">
        <v>8890</v>
      </c>
      <c r="D469" s="110">
        <v>24.95599</v>
      </c>
      <c r="E469" s="110">
        <v>7142</v>
      </c>
      <c r="F469" s="110">
        <v>322.33999999999997</v>
      </c>
      <c r="G469" s="110">
        <v>0.80310040469790345</v>
      </c>
      <c r="H469" s="110">
        <v>1.6107850666188304</v>
      </c>
      <c r="I469" s="110">
        <v>12172.57</v>
      </c>
      <c r="J469" s="110">
        <v>369.7894</v>
      </c>
      <c r="K469" s="110">
        <v>0.83490642986394914</v>
      </c>
      <c r="L469" s="110">
        <v>1.5767003055482736</v>
      </c>
      <c r="M469" s="110"/>
      <c r="N469" s="110"/>
      <c r="O469" s="110"/>
      <c r="P469" s="110">
        <v>39.091619999999999</v>
      </c>
      <c r="Q469" s="110"/>
      <c r="R469" s="110"/>
      <c r="S469" s="110"/>
      <c r="T469" s="110"/>
    </row>
    <row r="470" spans="1:20">
      <c r="A470" s="110" t="s">
        <v>44</v>
      </c>
      <c r="B470" s="110" t="s">
        <v>109</v>
      </c>
      <c r="C470" s="110">
        <v>8890</v>
      </c>
      <c r="D470" s="110">
        <v>24.95599</v>
      </c>
      <c r="E470" s="110">
        <v>7142</v>
      </c>
      <c r="F470" s="110">
        <v>322.33999999999997</v>
      </c>
      <c r="G470" s="110">
        <v>0.80310040469790345</v>
      </c>
      <c r="H470" s="110">
        <v>1.6107850666188304</v>
      </c>
      <c r="I470" s="110">
        <v>12066.31</v>
      </c>
      <c r="J470" s="110">
        <v>369.12419999999997</v>
      </c>
      <c r="K470" s="110">
        <v>0.83395342977488507</v>
      </c>
      <c r="L470" s="110">
        <v>1.5784248753494288</v>
      </c>
      <c r="M470" s="110"/>
      <c r="N470" s="110"/>
      <c r="O470" s="110"/>
      <c r="P470" s="110">
        <v>39.915610000000001</v>
      </c>
      <c r="Q470" s="110"/>
      <c r="R470" s="110"/>
      <c r="S470" s="110"/>
      <c r="T470" s="110"/>
    </row>
    <row r="471" spans="1:20">
      <c r="A471" s="110" t="s">
        <v>44</v>
      </c>
      <c r="B471" s="110" t="s">
        <v>109</v>
      </c>
      <c r="C471" s="110">
        <v>8890</v>
      </c>
      <c r="D471" s="110">
        <v>24.95599</v>
      </c>
      <c r="E471" s="110">
        <v>7142</v>
      </c>
      <c r="F471" s="110">
        <v>322.33999999999997</v>
      </c>
      <c r="G471" s="110">
        <v>0.80310040469790345</v>
      </c>
      <c r="H471" s="110">
        <v>1.6107850666188304</v>
      </c>
      <c r="I471" s="110">
        <v>11714.34</v>
      </c>
      <c r="J471" s="110">
        <v>367.03829999999999</v>
      </c>
      <c r="K471" s="110">
        <v>0.83026343849471962</v>
      </c>
      <c r="L471" s="110">
        <v>1.5605556139753283</v>
      </c>
      <c r="M471" s="110"/>
      <c r="N471" s="110"/>
      <c r="O471" s="110"/>
      <c r="P471" s="110">
        <v>42.240119999999997</v>
      </c>
      <c r="Q471" s="110"/>
      <c r="R471" s="110"/>
      <c r="S471" s="110"/>
      <c r="T471" s="110"/>
    </row>
    <row r="472" spans="1:20">
      <c r="A472" s="110" t="s">
        <v>44</v>
      </c>
      <c r="B472" s="110" t="s">
        <v>109</v>
      </c>
      <c r="C472" s="110">
        <v>8890</v>
      </c>
      <c r="D472" s="110">
        <v>24.95599</v>
      </c>
      <c r="E472" s="110">
        <v>7142</v>
      </c>
      <c r="F472" s="110">
        <v>322.33999999999997</v>
      </c>
      <c r="G472" s="110">
        <v>0.80310040469790345</v>
      </c>
      <c r="H472" s="110">
        <v>1.6107850666188304</v>
      </c>
      <c r="I472" s="110">
        <v>11541.849999999999</v>
      </c>
      <c r="J472" s="110">
        <v>366.0498</v>
      </c>
      <c r="K472" s="110">
        <v>0.83133974391589238</v>
      </c>
      <c r="L472" s="110">
        <v>1.5630339311065335</v>
      </c>
      <c r="M472" s="110"/>
      <c r="N472" s="110"/>
      <c r="O472" s="110"/>
      <c r="P472" s="110">
        <v>43.229340000000001</v>
      </c>
      <c r="Q472" s="110"/>
      <c r="R472" s="110"/>
      <c r="S472" s="110"/>
      <c r="T472" s="110"/>
    </row>
    <row r="473" spans="1:20">
      <c r="A473" s="110" t="s">
        <v>44</v>
      </c>
      <c r="B473" s="110" t="s">
        <v>109</v>
      </c>
      <c r="C473" s="110">
        <v>8890</v>
      </c>
      <c r="D473" s="110">
        <v>24.95599</v>
      </c>
      <c r="E473" s="110">
        <v>7142</v>
      </c>
      <c r="F473" s="110">
        <v>322.33999999999997</v>
      </c>
      <c r="G473" s="110">
        <v>0.80310040469790345</v>
      </c>
      <c r="H473" s="110">
        <v>1.6107850666188304</v>
      </c>
      <c r="I473" s="110">
        <v>11158.09</v>
      </c>
      <c r="J473" s="110">
        <v>363.92590000000001</v>
      </c>
      <c r="K473" s="110">
        <v>0.83237161533096327</v>
      </c>
      <c r="L473" s="110">
        <v>1.5681027926885491</v>
      </c>
      <c r="M473" s="110"/>
      <c r="N473" s="110"/>
      <c r="O473" s="110"/>
      <c r="P473" s="110">
        <v>45.131129999999999</v>
      </c>
      <c r="Q473" s="110"/>
      <c r="R473" s="110"/>
      <c r="S473" s="110"/>
      <c r="T473" s="110"/>
    </row>
    <row r="474" spans="1:20">
      <c r="A474" s="110" t="s">
        <v>44</v>
      </c>
      <c r="B474" s="110" t="s">
        <v>109</v>
      </c>
      <c r="C474" s="110">
        <v>8890</v>
      </c>
      <c r="D474" s="110">
        <v>24.95599</v>
      </c>
      <c r="E474" s="110">
        <v>7142</v>
      </c>
      <c r="F474" s="110">
        <v>322.33999999999997</v>
      </c>
      <c r="G474" s="110">
        <v>0.80310040469790345</v>
      </c>
      <c r="H474" s="110">
        <v>1.6107850666188304</v>
      </c>
      <c r="I474" s="110">
        <v>10957.869999999999</v>
      </c>
      <c r="J474" s="110">
        <v>362.84429999999998</v>
      </c>
      <c r="K474" s="110">
        <v>0.8320741722993692</v>
      </c>
      <c r="L474" s="110">
        <v>1.5705409119949783</v>
      </c>
      <c r="M474" s="110"/>
      <c r="N474" s="110"/>
      <c r="O474" s="110"/>
      <c r="P474" s="110">
        <v>45.990299999999998</v>
      </c>
      <c r="Q474" s="110"/>
      <c r="R474" s="110"/>
      <c r="S474" s="110"/>
      <c r="T474" s="110"/>
    </row>
    <row r="475" spans="1:20">
      <c r="A475" s="110" t="s">
        <v>44</v>
      </c>
      <c r="B475" s="110" t="s">
        <v>109</v>
      </c>
      <c r="C475" s="110">
        <v>8890</v>
      </c>
      <c r="D475" s="110">
        <v>24.95599</v>
      </c>
      <c r="E475" s="110">
        <v>7142</v>
      </c>
      <c r="F475" s="110">
        <v>322.33999999999997</v>
      </c>
      <c r="G475" s="110">
        <v>0.80310040469790345</v>
      </c>
      <c r="H475" s="110">
        <v>1.6107850666188304</v>
      </c>
      <c r="I475" s="110">
        <v>10571.54</v>
      </c>
      <c r="J475" s="110">
        <v>360.78140000000002</v>
      </c>
      <c r="K475" s="110">
        <v>0.82967203274420642</v>
      </c>
      <c r="L475" s="110">
        <v>1.5750125925643947</v>
      </c>
      <c r="M475" s="110"/>
      <c r="N475" s="110"/>
      <c r="O475" s="110"/>
      <c r="P475" s="110">
        <v>47.453339999999997</v>
      </c>
      <c r="Q475" s="110"/>
      <c r="R475" s="110"/>
      <c r="S475" s="110"/>
      <c r="T475" s="110"/>
    </row>
    <row r="476" spans="1:20">
      <c r="A476" s="110" t="s">
        <v>44</v>
      </c>
      <c r="B476" s="110" t="s">
        <v>109</v>
      </c>
      <c r="C476" s="110">
        <v>8890</v>
      </c>
      <c r="D476" s="110">
        <v>24.95599</v>
      </c>
      <c r="E476" s="110">
        <v>7142</v>
      </c>
      <c r="F476" s="110">
        <v>322.33999999999997</v>
      </c>
      <c r="G476" s="110">
        <v>0.80310040469790345</v>
      </c>
      <c r="H476" s="110">
        <v>1.6107850666188304</v>
      </c>
      <c r="I476" s="110">
        <v>10360.25</v>
      </c>
      <c r="J476" s="110">
        <v>359.66579999999999</v>
      </c>
      <c r="K476" s="110">
        <v>0.83017332222667295</v>
      </c>
      <c r="L476" s="110">
        <v>1.546196818092485</v>
      </c>
      <c r="M476" s="110"/>
      <c r="N476" s="110"/>
      <c r="O476" s="110"/>
      <c r="P476" s="110">
        <v>48.149749999999997</v>
      </c>
      <c r="Q476" s="110"/>
      <c r="R476" s="110"/>
      <c r="S476" s="110"/>
      <c r="T476" s="110"/>
    </row>
    <row r="477" spans="1:20">
      <c r="A477" s="110" t="s">
        <v>44</v>
      </c>
      <c r="B477" s="110" t="s">
        <v>109</v>
      </c>
      <c r="C477" s="110">
        <v>8890</v>
      </c>
      <c r="D477" s="110">
        <v>24.95599</v>
      </c>
      <c r="E477" s="110">
        <v>7142</v>
      </c>
      <c r="F477" s="110">
        <v>322.33999999999997</v>
      </c>
      <c r="G477" s="110">
        <v>0.80310040469790345</v>
      </c>
      <c r="H477" s="110">
        <v>1.6107850666188304</v>
      </c>
      <c r="I477" s="110">
        <v>9980.25</v>
      </c>
      <c r="J477" s="110">
        <v>357.6703</v>
      </c>
      <c r="K477" s="110">
        <v>0.83263770516229962</v>
      </c>
      <c r="L477" s="110">
        <v>1.5512538922922157</v>
      </c>
      <c r="M477" s="110"/>
      <c r="N477" s="110"/>
      <c r="O477" s="110"/>
      <c r="P477" s="110">
        <v>49.284599999999998</v>
      </c>
      <c r="Q477" s="110"/>
      <c r="R477" s="110"/>
      <c r="S477" s="110"/>
      <c r="T477" s="110"/>
    </row>
    <row r="478" spans="1:20">
      <c r="A478" s="110" t="s">
        <v>44</v>
      </c>
      <c r="B478" s="110" t="s">
        <v>109</v>
      </c>
      <c r="C478" s="110">
        <v>8890</v>
      </c>
      <c r="D478" s="110">
        <v>24.95599</v>
      </c>
      <c r="E478" s="110">
        <v>7142</v>
      </c>
      <c r="F478" s="110">
        <v>322.33999999999997</v>
      </c>
      <c r="G478" s="110">
        <v>0.80310040469790345</v>
      </c>
      <c r="H478" s="110">
        <v>1.6107850666188304</v>
      </c>
      <c r="I478" s="110">
        <v>9762.3250000000007</v>
      </c>
      <c r="J478" s="110">
        <v>356.52179999999998</v>
      </c>
      <c r="K478" s="110">
        <v>0.832872424578046</v>
      </c>
      <c r="L478" s="110">
        <v>1.5563221154211875</v>
      </c>
      <c r="M478" s="110"/>
      <c r="N478" s="110"/>
      <c r="O478" s="110"/>
      <c r="P478" s="110">
        <v>49.861109999999996</v>
      </c>
      <c r="Q478" s="110"/>
      <c r="R478" s="110"/>
      <c r="S478" s="110"/>
      <c r="T478" s="110"/>
    </row>
    <row r="479" spans="1:20">
      <c r="A479" s="110" t="s">
        <v>44</v>
      </c>
      <c r="B479" s="110" t="s">
        <v>109</v>
      </c>
      <c r="C479" s="110">
        <v>8890</v>
      </c>
      <c r="D479" s="110">
        <v>24.95599</v>
      </c>
      <c r="E479" s="110">
        <v>7142</v>
      </c>
      <c r="F479" s="110">
        <v>322.33999999999997</v>
      </c>
      <c r="G479" s="110">
        <v>0.80310040469790345</v>
      </c>
      <c r="H479" s="110">
        <v>1.6107850666188304</v>
      </c>
      <c r="I479" s="110">
        <v>9670.482</v>
      </c>
      <c r="J479" s="110">
        <v>356.03539999999998</v>
      </c>
      <c r="K479" s="110">
        <v>0.83271149792001653</v>
      </c>
      <c r="L479" s="110">
        <v>1.5585751921565181</v>
      </c>
      <c r="M479" s="110"/>
      <c r="N479" s="110"/>
      <c r="O479" s="110"/>
      <c r="P479" s="110">
        <v>50.093029999999999</v>
      </c>
      <c r="Q479" s="110"/>
      <c r="R479" s="110"/>
      <c r="S479" s="110"/>
      <c r="T479" s="110"/>
    </row>
    <row r="480" spans="1:20">
      <c r="A480" s="110" t="s">
        <v>44</v>
      </c>
      <c r="B480" s="110" t="s">
        <v>109</v>
      </c>
      <c r="C480" s="110">
        <v>8890</v>
      </c>
      <c r="D480" s="110">
        <v>24.95599</v>
      </c>
      <c r="E480" s="110">
        <v>7142</v>
      </c>
      <c r="F480" s="110">
        <v>322.33999999999997</v>
      </c>
      <c r="G480" s="110">
        <v>0.80310040469790345</v>
      </c>
      <c r="H480" s="110">
        <v>1.6107850666188304</v>
      </c>
      <c r="I480" s="110">
        <v>9629.1730000000007</v>
      </c>
      <c r="J480" s="110">
        <v>355.81569999999999</v>
      </c>
      <c r="K480" s="110">
        <v>0.83258796346840391</v>
      </c>
      <c r="L480" s="110">
        <v>1.55961335355707</v>
      </c>
      <c r="M480" s="110"/>
      <c r="N480" s="110"/>
      <c r="O480" s="110"/>
      <c r="P480" s="110">
        <v>50.196260000000002</v>
      </c>
      <c r="Q480" s="110"/>
      <c r="R480" s="110"/>
      <c r="S480" s="110"/>
      <c r="T480" s="110"/>
    </row>
    <row r="481" spans="1:20">
      <c r="A481" s="110" t="s">
        <v>44</v>
      </c>
      <c r="B481" s="110" t="s">
        <v>109</v>
      </c>
      <c r="C481" s="110">
        <v>8890</v>
      </c>
      <c r="D481" s="110">
        <v>24.95599</v>
      </c>
      <c r="E481" s="110">
        <v>7142</v>
      </c>
      <c r="F481" s="110">
        <v>322.33999999999997</v>
      </c>
      <c r="G481" s="110">
        <v>0.80310040469790345</v>
      </c>
      <c r="H481" s="110">
        <v>1.6107850666188304</v>
      </c>
      <c r="I481" s="110">
        <v>9608.8070000000007</v>
      </c>
      <c r="J481" s="110">
        <v>355.70729999999998</v>
      </c>
      <c r="K481" s="110">
        <v>0.83251565524162785</v>
      </c>
      <c r="L481" s="110">
        <v>1.5601307247355309</v>
      </c>
      <c r="M481" s="110"/>
      <c r="N481" s="110"/>
      <c r="O481" s="110"/>
      <c r="P481" s="110">
        <v>50.246810000000004</v>
      </c>
      <c r="Q481" s="110"/>
      <c r="R481" s="110"/>
      <c r="S481" s="110"/>
      <c r="T481" s="110"/>
    </row>
    <row r="482" spans="1:20">
      <c r="A482" s="110" t="s">
        <v>44</v>
      </c>
      <c r="B482" s="110" t="s">
        <v>109</v>
      </c>
      <c r="C482" s="110">
        <v>8890</v>
      </c>
      <c r="D482" s="110">
        <v>24.95599</v>
      </c>
      <c r="E482" s="110">
        <v>7142</v>
      </c>
      <c r="F482" s="110">
        <v>322.33999999999997</v>
      </c>
      <c r="G482" s="110">
        <v>0.80310040469790345</v>
      </c>
      <c r="H482" s="110">
        <v>1.6107850666188304</v>
      </c>
      <c r="I482" s="110">
        <v>9599.0990000000002</v>
      </c>
      <c r="J482" s="110">
        <v>355.65550000000002</v>
      </c>
      <c r="K482" s="110">
        <v>0.83247830931419675</v>
      </c>
      <c r="L482" s="110">
        <v>1.5603788519247477</v>
      </c>
      <c r="M482" s="110"/>
      <c r="N482" s="110"/>
      <c r="O482" s="110"/>
      <c r="P482" s="110">
        <v>50.270809999999997</v>
      </c>
      <c r="Q482" s="110"/>
      <c r="R482" s="110"/>
      <c r="S482" s="110"/>
      <c r="T482" s="110"/>
    </row>
    <row r="483" spans="1:20">
      <c r="A483" s="110" t="s">
        <v>44</v>
      </c>
      <c r="B483" s="110" t="s">
        <v>65</v>
      </c>
      <c r="C483" s="110">
        <v>13335</v>
      </c>
      <c r="D483" s="110">
        <v>26.28003</v>
      </c>
      <c r="E483" s="110">
        <v>7142</v>
      </c>
      <c r="F483" s="110">
        <v>321.02</v>
      </c>
      <c r="G483" s="110">
        <v>0.83672724431104684</v>
      </c>
      <c r="H483" s="110">
        <v>1.5833051160085543</v>
      </c>
      <c r="I483" s="110"/>
      <c r="J483" s="110"/>
      <c r="K483" s="110">
        <v>0.9663493645066471</v>
      </c>
      <c r="L483" s="110">
        <v>1.4907058391338341</v>
      </c>
      <c r="M483" s="110">
        <v>133.46270000000001</v>
      </c>
      <c r="N483" s="110">
        <v>0.81910059999999996</v>
      </c>
      <c r="O483" s="110"/>
      <c r="P483" s="110">
        <v>52.532739999999997</v>
      </c>
      <c r="Q483" s="110"/>
      <c r="R483" s="110"/>
      <c r="S483" s="110"/>
      <c r="T483" s="110"/>
    </row>
    <row r="484" spans="1:20">
      <c r="A484" s="110" t="s">
        <v>44</v>
      </c>
      <c r="B484" s="110" t="s">
        <v>65</v>
      </c>
      <c r="C484" s="110">
        <v>13335</v>
      </c>
      <c r="D484" s="110">
        <v>26.28003</v>
      </c>
      <c r="E484" s="110">
        <v>7142</v>
      </c>
      <c r="F484" s="110">
        <v>321.02</v>
      </c>
      <c r="G484" s="110">
        <v>0.83672724431104684</v>
      </c>
      <c r="H484" s="110">
        <v>1.5833051160085543</v>
      </c>
      <c r="I484" s="110"/>
      <c r="J484" s="110"/>
      <c r="K484" s="110">
        <v>0.96609223521373844</v>
      </c>
      <c r="L484" s="110">
        <v>1.4909385755918283</v>
      </c>
      <c r="M484" s="110">
        <v>133.27209999999999</v>
      </c>
      <c r="N484" s="110">
        <v>0.81970370000000004</v>
      </c>
      <c r="O484" s="110"/>
      <c r="P484" s="110">
        <v>52.89405</v>
      </c>
      <c r="Q484" s="110"/>
      <c r="R484" s="110"/>
      <c r="S484" s="110"/>
      <c r="T484" s="110"/>
    </row>
    <row r="485" spans="1:20">
      <c r="A485" s="110" t="s">
        <v>44</v>
      </c>
      <c r="B485" s="110" t="s">
        <v>65</v>
      </c>
      <c r="C485" s="110">
        <v>13335</v>
      </c>
      <c r="D485" s="110">
        <v>26.28003</v>
      </c>
      <c r="E485" s="110">
        <v>7142</v>
      </c>
      <c r="F485" s="110">
        <v>321.02</v>
      </c>
      <c r="G485" s="110">
        <v>0.83672724431104684</v>
      </c>
      <c r="H485" s="110">
        <v>1.5833051160085543</v>
      </c>
      <c r="I485" s="110"/>
      <c r="J485" s="110"/>
      <c r="K485" s="110">
        <v>0.96556175764478869</v>
      </c>
      <c r="L485" s="110">
        <v>1.4913883739176492</v>
      </c>
      <c r="M485" s="110">
        <v>132.8818</v>
      </c>
      <c r="N485" s="110">
        <v>0.82088280000000002</v>
      </c>
      <c r="O485" s="110"/>
      <c r="P485" s="110">
        <v>53.610869999999998</v>
      </c>
      <c r="Q485" s="110"/>
      <c r="R485" s="110"/>
      <c r="S485" s="110"/>
      <c r="T485" s="110"/>
    </row>
    <row r="486" spans="1:20">
      <c r="A486" s="110" t="s">
        <v>44</v>
      </c>
      <c r="B486" s="110" t="s">
        <v>65</v>
      </c>
      <c r="C486" s="110">
        <v>13335</v>
      </c>
      <c r="D486" s="110">
        <v>26.28003</v>
      </c>
      <c r="E486" s="110">
        <v>7142</v>
      </c>
      <c r="F486" s="110">
        <v>321.02</v>
      </c>
      <c r="G486" s="110">
        <v>0.83672724431104684</v>
      </c>
      <c r="H486" s="110">
        <v>1.5833051160085543</v>
      </c>
      <c r="I486" s="110"/>
      <c r="J486" s="110"/>
      <c r="K486" s="110">
        <v>0.96398163186553987</v>
      </c>
      <c r="L486" s="110">
        <v>1.4924738787762821</v>
      </c>
      <c r="M486" s="110">
        <v>131.7527</v>
      </c>
      <c r="N486" s="110">
        <v>0.82388749999999999</v>
      </c>
      <c r="O486" s="110"/>
      <c r="P486" s="110">
        <v>55.549819999999997</v>
      </c>
      <c r="Q486" s="110"/>
      <c r="R486" s="110"/>
      <c r="S486" s="110"/>
      <c r="T486" s="110"/>
    </row>
    <row r="487" spans="1:20">
      <c r="A487" s="110" t="s">
        <v>44</v>
      </c>
      <c r="B487" s="110" t="s">
        <v>65</v>
      </c>
      <c r="C487" s="110">
        <v>13335</v>
      </c>
      <c r="D487" s="110">
        <v>26.28003</v>
      </c>
      <c r="E487" s="110">
        <v>7142</v>
      </c>
      <c r="F487" s="110">
        <v>321.02</v>
      </c>
      <c r="G487" s="110">
        <v>0.83672724431104684</v>
      </c>
      <c r="H487" s="110">
        <v>1.5833051160085543</v>
      </c>
      <c r="I487" s="110"/>
      <c r="J487" s="110"/>
      <c r="K487" s="110">
        <v>0.96321142936619741</v>
      </c>
      <c r="L487" s="110">
        <v>1.4928923671310916</v>
      </c>
      <c r="M487" s="110">
        <v>131.2184</v>
      </c>
      <c r="N487" s="110">
        <v>0.82507870000000005</v>
      </c>
      <c r="O487" s="110"/>
      <c r="P487" s="110">
        <v>56.3718</v>
      </c>
      <c r="Q487" s="110"/>
      <c r="R487" s="110"/>
      <c r="S487" s="110"/>
      <c r="T487" s="110"/>
    </row>
    <row r="488" spans="1:20">
      <c r="A488" s="110" t="s">
        <v>44</v>
      </c>
      <c r="B488" s="110" t="s">
        <v>65</v>
      </c>
      <c r="C488" s="110">
        <v>13335</v>
      </c>
      <c r="D488" s="110">
        <v>26.28003</v>
      </c>
      <c r="E488" s="110">
        <v>7142</v>
      </c>
      <c r="F488" s="110">
        <v>321.02</v>
      </c>
      <c r="G488" s="110">
        <v>0.83672724431104684</v>
      </c>
      <c r="H488" s="110">
        <v>1.5833051160085543</v>
      </c>
      <c r="I488" s="110"/>
      <c r="J488" s="110"/>
      <c r="K488" s="110">
        <v>0.95824581558242761</v>
      </c>
      <c r="L488" s="110">
        <v>1.4949060263423959</v>
      </c>
      <c r="M488" s="110">
        <v>128.1156</v>
      </c>
      <c r="N488" s="110">
        <v>0.83046529999999996</v>
      </c>
      <c r="O488" s="110"/>
      <c r="P488" s="110">
        <v>60.812690000000003</v>
      </c>
      <c r="Q488" s="110"/>
      <c r="R488" s="110"/>
      <c r="S488" s="110"/>
      <c r="T488" s="110"/>
    </row>
    <row r="489" spans="1:20">
      <c r="A489" s="110" t="s">
        <v>44</v>
      </c>
      <c r="B489" s="110" t="s">
        <v>65</v>
      </c>
      <c r="C489" s="110">
        <v>13335</v>
      </c>
      <c r="D489" s="110">
        <v>26.28003</v>
      </c>
      <c r="E489" s="110">
        <v>7142</v>
      </c>
      <c r="F489" s="110">
        <v>321.02</v>
      </c>
      <c r="G489" s="110">
        <v>0.83672724431104684</v>
      </c>
      <c r="H489" s="110">
        <v>1.5833051160085543</v>
      </c>
      <c r="I489" s="110"/>
      <c r="J489" s="110"/>
      <c r="K489" s="110">
        <v>0.94930893592516807</v>
      </c>
      <c r="L489" s="110">
        <v>1.4967467647446309</v>
      </c>
      <c r="M489" s="110">
        <v>123.4605</v>
      </c>
      <c r="N489" s="110">
        <v>0.83313749999999998</v>
      </c>
      <c r="O489" s="110"/>
      <c r="P489" s="110">
        <v>66.591089999999994</v>
      </c>
      <c r="Q489" s="110"/>
      <c r="R489" s="110"/>
      <c r="S489" s="110"/>
      <c r="T489" s="110"/>
    </row>
    <row r="490" spans="1:20">
      <c r="A490" s="110" t="s">
        <v>44</v>
      </c>
      <c r="B490" s="110" t="s">
        <v>65</v>
      </c>
      <c r="C490" s="110">
        <v>13335</v>
      </c>
      <c r="D490" s="110">
        <v>26.28003</v>
      </c>
      <c r="E490" s="110">
        <v>7142</v>
      </c>
      <c r="F490" s="110">
        <v>321.02</v>
      </c>
      <c r="G490" s="110">
        <v>0.83672724431104684</v>
      </c>
      <c r="H490" s="110">
        <v>1.5833051160085543</v>
      </c>
      <c r="I490" s="110"/>
      <c r="J490" s="110"/>
      <c r="K490" s="110">
        <v>0.94330693660890508</v>
      </c>
      <c r="L490" s="110">
        <v>1.507032079243851</v>
      </c>
      <c r="M490" s="110">
        <v>118.6773</v>
      </c>
      <c r="N490" s="110">
        <v>0.82971669999999997</v>
      </c>
      <c r="O490" s="110"/>
      <c r="P490" s="110">
        <v>71.307360000000003</v>
      </c>
      <c r="Q490" s="110"/>
      <c r="R490" s="110"/>
      <c r="S490" s="110"/>
      <c r="T490" s="110"/>
    </row>
    <row r="491" spans="1:20">
      <c r="A491" s="110" t="s">
        <v>44</v>
      </c>
      <c r="B491" s="110" t="s">
        <v>65</v>
      </c>
      <c r="C491" s="110">
        <v>13335</v>
      </c>
      <c r="D491" s="110">
        <v>26.28003</v>
      </c>
      <c r="E491" s="110">
        <v>7142</v>
      </c>
      <c r="F491" s="110">
        <v>321.02</v>
      </c>
      <c r="G491" s="110">
        <v>0.83672724431104684</v>
      </c>
      <c r="H491" s="110">
        <v>1.5833051160085543</v>
      </c>
      <c r="I491" s="110"/>
      <c r="J491" s="110"/>
      <c r="K491" s="110">
        <v>0.9360926914252532</v>
      </c>
      <c r="L491" s="110">
        <v>1.5066922780138581</v>
      </c>
      <c r="M491" s="110">
        <v>112.46719999999999</v>
      </c>
      <c r="N491" s="110">
        <v>0.81837720000000003</v>
      </c>
      <c r="O491" s="110"/>
      <c r="P491" s="110">
        <v>75.877170000000007</v>
      </c>
      <c r="Q491" s="110"/>
      <c r="R491" s="110"/>
      <c r="S491" s="110"/>
      <c r="T491" s="110"/>
    </row>
    <row r="492" spans="1:20">
      <c r="A492" s="110" t="s">
        <v>44</v>
      </c>
      <c r="B492" s="110" t="s">
        <v>65</v>
      </c>
      <c r="C492" s="110">
        <v>13335</v>
      </c>
      <c r="D492" s="110">
        <v>26.28003</v>
      </c>
      <c r="E492" s="110">
        <v>7142</v>
      </c>
      <c r="F492" s="110">
        <v>321.02</v>
      </c>
      <c r="G492" s="110">
        <v>0.83672724431104684</v>
      </c>
      <c r="H492" s="110">
        <v>1.5833051160085543</v>
      </c>
      <c r="I492" s="110"/>
      <c r="J492" s="110"/>
      <c r="K492" s="110">
        <v>0.93235783098622327</v>
      </c>
      <c r="L492" s="110">
        <v>1.5059904962506627</v>
      </c>
      <c r="M492" s="110">
        <v>110.2007</v>
      </c>
      <c r="N492" s="110">
        <v>0.81276990000000005</v>
      </c>
      <c r="O492" s="110"/>
      <c r="P492" s="110">
        <v>77.273139999999998</v>
      </c>
      <c r="Q492" s="110"/>
      <c r="R492" s="110"/>
      <c r="S492" s="110"/>
      <c r="T492" s="110"/>
    </row>
    <row r="493" spans="1:20">
      <c r="A493" s="110" t="s">
        <v>44</v>
      </c>
      <c r="B493" s="110" t="s">
        <v>65</v>
      </c>
      <c r="C493" s="110">
        <v>13335</v>
      </c>
      <c r="D493" s="110">
        <v>26.28003</v>
      </c>
      <c r="E493" s="110">
        <v>7142</v>
      </c>
      <c r="F493" s="110">
        <v>321.02</v>
      </c>
      <c r="G493" s="110">
        <v>0.83672724431104684</v>
      </c>
      <c r="H493" s="110">
        <v>1.5833051160085543</v>
      </c>
      <c r="I493" s="110"/>
      <c r="J493" s="110"/>
      <c r="K493" s="110">
        <v>0.92770202910389732</v>
      </c>
      <c r="L493" s="110">
        <v>1.5095991003682001</v>
      </c>
      <c r="M493" s="110">
        <v>106.363</v>
      </c>
      <c r="N493" s="110">
        <v>0.80115749999999997</v>
      </c>
      <c r="O493" s="110"/>
      <c r="P493" s="110">
        <v>79.247079999999997</v>
      </c>
      <c r="Q493" s="110"/>
      <c r="R493" s="110"/>
      <c r="S493" s="110"/>
      <c r="T493" s="110"/>
    </row>
    <row r="494" spans="1:20">
      <c r="A494" s="110" t="s">
        <v>44</v>
      </c>
      <c r="B494" s="110" t="s">
        <v>65</v>
      </c>
      <c r="C494" s="110">
        <v>13335</v>
      </c>
      <c r="D494" s="110">
        <v>26.28003</v>
      </c>
      <c r="E494" s="110">
        <v>7142</v>
      </c>
      <c r="F494" s="110">
        <v>321.02</v>
      </c>
      <c r="G494" s="110">
        <v>0.83672724431104684</v>
      </c>
      <c r="H494" s="110">
        <v>1.5833051160085543</v>
      </c>
      <c r="I494" s="110"/>
      <c r="J494" s="110"/>
      <c r="K494" s="110">
        <v>0.92234517951896999</v>
      </c>
      <c r="L494" s="110">
        <v>1.5078579158137557</v>
      </c>
      <c r="M494" s="110">
        <v>99.340550000000007</v>
      </c>
      <c r="N494" s="110">
        <v>0.77476579999999995</v>
      </c>
      <c r="O494" s="110"/>
      <c r="P494" s="110">
        <v>82.044960000000003</v>
      </c>
      <c r="Q494" s="110"/>
      <c r="R494" s="110"/>
      <c r="S494" s="110"/>
      <c r="T494" s="110"/>
    </row>
    <row r="495" spans="1:20">
      <c r="A495" s="110" t="s">
        <v>44</v>
      </c>
      <c r="B495" s="110" t="s">
        <v>65</v>
      </c>
      <c r="C495" s="110">
        <v>13335</v>
      </c>
      <c r="D495" s="110">
        <v>26.28003</v>
      </c>
      <c r="E495" s="110">
        <v>7142</v>
      </c>
      <c r="F495" s="110">
        <v>321.02</v>
      </c>
      <c r="G495" s="110">
        <v>0.83672724431104684</v>
      </c>
      <c r="H495" s="110">
        <v>1.5833051160085543</v>
      </c>
      <c r="I495" s="110"/>
      <c r="J495" s="110"/>
      <c r="K495" s="110">
        <v>0.91664597181345753</v>
      </c>
      <c r="L495" s="110">
        <v>1.5061757287417032</v>
      </c>
      <c r="M495" s="110">
        <v>95.515330000000006</v>
      </c>
      <c r="N495" s="110">
        <v>0.75748260000000001</v>
      </c>
      <c r="O495" s="110"/>
      <c r="P495" s="110">
        <v>83.175210000000007</v>
      </c>
      <c r="Q495" s="110"/>
      <c r="R495" s="110"/>
      <c r="S495" s="110"/>
      <c r="T495" s="110"/>
    </row>
    <row r="496" spans="1:20">
      <c r="A496" s="110" t="s">
        <v>44</v>
      </c>
      <c r="B496" s="110" t="s">
        <v>65</v>
      </c>
      <c r="C496" s="110">
        <v>13335</v>
      </c>
      <c r="D496" s="110">
        <v>26.28003</v>
      </c>
      <c r="E496" s="110">
        <v>7142</v>
      </c>
      <c r="F496" s="110">
        <v>321.02</v>
      </c>
      <c r="G496" s="110">
        <v>0.83672724431104684</v>
      </c>
      <c r="H496" s="110">
        <v>1.5833051160085543</v>
      </c>
      <c r="I496" s="110"/>
      <c r="J496" s="110"/>
      <c r="K496" s="110">
        <v>0.91417213424385235</v>
      </c>
      <c r="L496" s="110">
        <v>1.5038073897252755</v>
      </c>
      <c r="M496" s="110">
        <v>88.289829999999995</v>
      </c>
      <c r="N496" s="110">
        <v>0.72004000000000001</v>
      </c>
      <c r="O496" s="110"/>
      <c r="P496" s="110">
        <v>84.787999999999997</v>
      </c>
      <c r="Q496" s="110"/>
      <c r="R496" s="110"/>
      <c r="S496" s="110"/>
      <c r="T496" s="110"/>
    </row>
    <row r="497" spans="1:20">
      <c r="A497" s="110" t="s">
        <v>44</v>
      </c>
      <c r="B497" s="110" t="s">
        <v>65</v>
      </c>
      <c r="C497" s="110">
        <v>13335</v>
      </c>
      <c r="D497" s="110">
        <v>26.28003</v>
      </c>
      <c r="E497" s="110">
        <v>7142</v>
      </c>
      <c r="F497" s="110">
        <v>321.02</v>
      </c>
      <c r="G497" s="110">
        <v>0.83672724431104684</v>
      </c>
      <c r="H497" s="110">
        <v>1.5833051160085543</v>
      </c>
      <c r="I497" s="110"/>
      <c r="J497" s="110"/>
      <c r="K497" s="110">
        <v>0.91086232668031952</v>
      </c>
      <c r="L497" s="110">
        <v>1.5039880719934198</v>
      </c>
      <c r="M497" s="110">
        <v>85.004379999999998</v>
      </c>
      <c r="N497" s="110">
        <v>0.70179380000000002</v>
      </c>
      <c r="O497" s="110"/>
      <c r="P497" s="110">
        <v>85.431970000000007</v>
      </c>
      <c r="Q497" s="110"/>
      <c r="R497" s="110"/>
      <c r="S497" s="110"/>
      <c r="T497" s="110"/>
    </row>
    <row r="498" spans="1:20">
      <c r="A498" s="110" t="s">
        <v>44</v>
      </c>
      <c r="B498" s="110" t="s">
        <v>65</v>
      </c>
      <c r="C498" s="110">
        <v>13335</v>
      </c>
      <c r="D498" s="110">
        <v>26.28003</v>
      </c>
      <c r="E498" s="110">
        <v>7142</v>
      </c>
      <c r="F498" s="110">
        <v>321.02</v>
      </c>
      <c r="G498" s="110">
        <v>0.83672724431104684</v>
      </c>
      <c r="H498" s="110">
        <v>1.5833051160085543</v>
      </c>
      <c r="I498" s="110"/>
      <c r="J498" s="110"/>
      <c r="K498" s="110">
        <v>0.90783565597538396</v>
      </c>
      <c r="L498" s="110">
        <v>1.4970456104546763</v>
      </c>
      <c r="M498" s="110">
        <v>76.195979999999992</v>
      </c>
      <c r="N498" s="110">
        <v>0.64890899999999996</v>
      </c>
      <c r="O498" s="110"/>
      <c r="P498" s="110">
        <v>86.859750000000005</v>
      </c>
      <c r="Q498" s="110"/>
      <c r="R498" s="110"/>
      <c r="S498" s="110"/>
      <c r="T498" s="110"/>
    </row>
    <row r="499" spans="1:20">
      <c r="A499" s="110" t="s">
        <v>44</v>
      </c>
      <c r="B499" s="110" t="s">
        <v>65</v>
      </c>
      <c r="C499" s="110">
        <v>13335</v>
      </c>
      <c r="D499" s="110">
        <v>26.28003</v>
      </c>
      <c r="E499" s="110">
        <v>7142</v>
      </c>
      <c r="F499" s="110">
        <v>321.02</v>
      </c>
      <c r="G499" s="110">
        <v>0.83672724431104684</v>
      </c>
      <c r="H499" s="110">
        <v>1.5833051160085543</v>
      </c>
      <c r="I499" s="110"/>
      <c r="J499" s="110"/>
      <c r="K499" s="110">
        <v>0.90451560291318078</v>
      </c>
      <c r="L499" s="110">
        <v>1.4967602776814755</v>
      </c>
      <c r="M499" s="110">
        <v>72.263300000000001</v>
      </c>
      <c r="N499" s="110">
        <v>0.62361909999999998</v>
      </c>
      <c r="O499" s="110"/>
      <c r="P499" s="110">
        <v>87.408289999999994</v>
      </c>
      <c r="Q499" s="110"/>
      <c r="R499" s="110"/>
      <c r="S499" s="110"/>
      <c r="T499" s="110"/>
    </row>
    <row r="500" spans="1:20">
      <c r="A500" s="110" t="s">
        <v>44</v>
      </c>
      <c r="B500" s="110" t="s">
        <v>65</v>
      </c>
      <c r="C500" s="110">
        <v>13335</v>
      </c>
      <c r="D500" s="110">
        <v>26.28003</v>
      </c>
      <c r="E500" s="110">
        <v>7142</v>
      </c>
      <c r="F500" s="110">
        <v>321.02</v>
      </c>
      <c r="G500" s="110">
        <v>0.83672724431104684</v>
      </c>
      <c r="H500" s="110">
        <v>1.5833051160085543</v>
      </c>
      <c r="I500" s="110"/>
      <c r="J500" s="110"/>
      <c r="K500" s="110">
        <v>0.90352312052948514</v>
      </c>
      <c r="L500" s="110">
        <v>1.4855942248252583</v>
      </c>
      <c r="M500" s="110">
        <v>63.099350000000001</v>
      </c>
      <c r="N500" s="110">
        <v>0.56001210000000001</v>
      </c>
      <c r="O500" s="110"/>
      <c r="P500" s="110">
        <v>88.427289999999999</v>
      </c>
      <c r="Q500" s="110"/>
      <c r="R500" s="110"/>
      <c r="S500" s="110"/>
      <c r="T500" s="110"/>
    </row>
    <row r="501" spans="1:20">
      <c r="A501" s="110" t="s">
        <v>44</v>
      </c>
      <c r="B501" s="110" t="s">
        <v>65</v>
      </c>
      <c r="C501" s="110">
        <v>12700</v>
      </c>
      <c r="D501" s="110">
        <v>26.28003</v>
      </c>
      <c r="E501" s="110">
        <v>7142</v>
      </c>
      <c r="F501" s="110">
        <v>321.02</v>
      </c>
      <c r="G501" s="110">
        <v>0.83672724431104684</v>
      </c>
      <c r="H501" s="110">
        <v>1.5833051160085543</v>
      </c>
      <c r="I501" s="110"/>
      <c r="J501" s="110"/>
      <c r="K501" s="110">
        <v>0.94726731420811472</v>
      </c>
      <c r="L501" s="110">
        <v>1.5002208190250155</v>
      </c>
      <c r="M501" s="110">
        <v>121.6968</v>
      </c>
      <c r="N501" s="110">
        <v>0.81869930000000002</v>
      </c>
      <c r="O501" s="110"/>
      <c r="P501" s="110">
        <v>47.411619999999999</v>
      </c>
      <c r="Q501" s="110"/>
      <c r="R501" s="110"/>
      <c r="S501" s="110"/>
      <c r="T501" s="110"/>
    </row>
    <row r="502" spans="1:20">
      <c r="A502" s="110" t="s">
        <v>44</v>
      </c>
      <c r="B502" s="110" t="s">
        <v>65</v>
      </c>
      <c r="C502" s="110">
        <v>12700</v>
      </c>
      <c r="D502" s="110">
        <v>26.28003</v>
      </c>
      <c r="E502" s="110">
        <v>7142</v>
      </c>
      <c r="F502" s="110">
        <v>321.02</v>
      </c>
      <c r="G502" s="110">
        <v>0.83672724431104684</v>
      </c>
      <c r="H502" s="110">
        <v>1.5833051160085543</v>
      </c>
      <c r="I502" s="110"/>
      <c r="J502" s="110"/>
      <c r="K502" s="110">
        <v>0.94709260561482866</v>
      </c>
      <c r="L502" s="110">
        <v>1.5005199108167722</v>
      </c>
      <c r="M502" s="110">
        <v>121.53360000000001</v>
      </c>
      <c r="N502" s="110">
        <v>0.81933489999999998</v>
      </c>
      <c r="O502" s="110"/>
      <c r="P502" s="110">
        <v>47.744320000000002</v>
      </c>
      <c r="Q502" s="110"/>
      <c r="R502" s="110"/>
      <c r="S502" s="110"/>
      <c r="T502" s="110"/>
    </row>
    <row r="503" spans="1:20">
      <c r="A503" s="110" t="s">
        <v>44</v>
      </c>
      <c r="B503" s="110" t="s">
        <v>65</v>
      </c>
      <c r="C503" s="110">
        <v>12700</v>
      </c>
      <c r="D503" s="110">
        <v>26.28003</v>
      </c>
      <c r="E503" s="110">
        <v>7142</v>
      </c>
      <c r="F503" s="110">
        <v>321.02</v>
      </c>
      <c r="G503" s="110">
        <v>0.83672724431104684</v>
      </c>
      <c r="H503" s="110">
        <v>1.5833051160085543</v>
      </c>
      <c r="I503" s="110"/>
      <c r="J503" s="110"/>
      <c r="K503" s="110">
        <v>0.94670343284506342</v>
      </c>
      <c r="L503" s="110">
        <v>1.5011578212417869</v>
      </c>
      <c r="M503" s="110">
        <v>121.1694</v>
      </c>
      <c r="N503" s="110">
        <v>0.82067429999999997</v>
      </c>
      <c r="O503" s="110"/>
      <c r="P503" s="110">
        <v>48.464820000000003</v>
      </c>
      <c r="Q503" s="110"/>
      <c r="R503" s="110"/>
      <c r="S503" s="110"/>
      <c r="T503" s="110"/>
    </row>
    <row r="504" spans="1:20">
      <c r="A504" s="110" t="s">
        <v>44</v>
      </c>
      <c r="B504" s="110" t="s">
        <v>65</v>
      </c>
      <c r="C504" s="110">
        <v>12700</v>
      </c>
      <c r="D504" s="110">
        <v>26.28003</v>
      </c>
      <c r="E504" s="110">
        <v>7142</v>
      </c>
      <c r="F504" s="110">
        <v>321.02</v>
      </c>
      <c r="G504" s="110">
        <v>0.83672724431104684</v>
      </c>
      <c r="H504" s="110">
        <v>1.5833051160085543</v>
      </c>
      <c r="I504" s="110"/>
      <c r="J504" s="110"/>
      <c r="K504" s="110">
        <v>0.94552969294068034</v>
      </c>
      <c r="L504" s="110">
        <v>1.5028746515258504</v>
      </c>
      <c r="M504" s="110">
        <v>120.0864</v>
      </c>
      <c r="N504" s="110">
        <v>0.82416750000000005</v>
      </c>
      <c r="O504" s="110"/>
      <c r="P504" s="110">
        <v>50.469290000000001</v>
      </c>
      <c r="Q504" s="110"/>
      <c r="R504" s="110"/>
      <c r="S504" s="110"/>
      <c r="T504" s="110"/>
    </row>
    <row r="505" spans="1:20">
      <c r="A505" s="110" t="s">
        <v>44</v>
      </c>
      <c r="B505" s="110" t="s">
        <v>65</v>
      </c>
      <c r="C505" s="110">
        <v>12700</v>
      </c>
      <c r="D505" s="110">
        <v>26.28003</v>
      </c>
      <c r="E505" s="110">
        <v>7142</v>
      </c>
      <c r="F505" s="110">
        <v>321.02</v>
      </c>
      <c r="G505" s="110">
        <v>0.83672724431104684</v>
      </c>
      <c r="H505" s="110">
        <v>1.5833051160085543</v>
      </c>
      <c r="I505" s="110"/>
      <c r="J505" s="110"/>
      <c r="K505" s="110">
        <v>0.94502087257369261</v>
      </c>
      <c r="L505" s="110">
        <v>1.5035295555749995</v>
      </c>
      <c r="M505" s="110">
        <v>119.628</v>
      </c>
      <c r="N505" s="110">
        <v>0.82546339999999996</v>
      </c>
      <c r="O505" s="110"/>
      <c r="P505" s="110">
        <v>51.265619999999998</v>
      </c>
      <c r="Q505" s="110"/>
      <c r="R505" s="110"/>
      <c r="S505" s="110"/>
      <c r="T505" s="110"/>
    </row>
    <row r="506" spans="1:20">
      <c r="A506" s="110" t="s">
        <v>44</v>
      </c>
      <c r="B506" s="110" t="s">
        <v>65</v>
      </c>
      <c r="C506" s="110">
        <v>12700</v>
      </c>
      <c r="D506" s="110">
        <v>26.28003</v>
      </c>
      <c r="E506" s="110">
        <v>7142</v>
      </c>
      <c r="F506" s="110">
        <v>321.02</v>
      </c>
      <c r="G506" s="110">
        <v>0.83672724431104684</v>
      </c>
      <c r="H506" s="110">
        <v>1.5833051160085543</v>
      </c>
      <c r="I506" s="110"/>
      <c r="J506" s="110"/>
      <c r="K506" s="110">
        <v>0.94150664857258304</v>
      </c>
      <c r="L506" s="110">
        <v>1.5068206799339938</v>
      </c>
      <c r="M506" s="110">
        <v>116.6849</v>
      </c>
      <c r="N506" s="110">
        <v>0.83151160000000002</v>
      </c>
      <c r="O506" s="110"/>
      <c r="P506" s="110">
        <v>55.679699999999997</v>
      </c>
      <c r="Q506" s="110"/>
      <c r="R506" s="110"/>
      <c r="S506" s="110"/>
      <c r="T506" s="110"/>
    </row>
    <row r="507" spans="1:20">
      <c r="A507" s="110" t="s">
        <v>44</v>
      </c>
      <c r="B507" s="110" t="s">
        <v>65</v>
      </c>
      <c r="C507" s="110">
        <v>12700</v>
      </c>
      <c r="D507" s="110">
        <v>26.28003</v>
      </c>
      <c r="E507" s="110">
        <v>7142</v>
      </c>
      <c r="F507" s="110">
        <v>321.02</v>
      </c>
      <c r="G507" s="110">
        <v>0.83672724431104684</v>
      </c>
      <c r="H507" s="110">
        <v>1.5833051160085543</v>
      </c>
      <c r="I507" s="110"/>
      <c r="J507" s="110"/>
      <c r="K507" s="110">
        <v>0.93484588755789255</v>
      </c>
      <c r="L507" s="110">
        <v>1.5095744548767696</v>
      </c>
      <c r="M507" s="110">
        <v>112.2734</v>
      </c>
      <c r="N507" s="110">
        <v>0.83437479999999997</v>
      </c>
      <c r="O507" s="110"/>
      <c r="P507" s="110">
        <v>61.375660000000003</v>
      </c>
      <c r="Q507" s="110"/>
      <c r="R507" s="110"/>
      <c r="S507" s="110"/>
      <c r="T507" s="110"/>
    </row>
    <row r="508" spans="1:20">
      <c r="A508" s="110" t="s">
        <v>44</v>
      </c>
      <c r="B508" s="110" t="s">
        <v>65</v>
      </c>
      <c r="C508" s="110">
        <v>12700</v>
      </c>
      <c r="D508" s="110">
        <v>26.28003</v>
      </c>
      <c r="E508" s="110">
        <v>7142</v>
      </c>
      <c r="F508" s="110">
        <v>321.02</v>
      </c>
      <c r="G508" s="110">
        <v>0.83672724431104684</v>
      </c>
      <c r="H508" s="110">
        <v>1.5833051160085543</v>
      </c>
      <c r="I508" s="110"/>
      <c r="J508" s="110"/>
      <c r="K508" s="110">
        <v>0.92612397814249836</v>
      </c>
      <c r="L508" s="110">
        <v>1.5100735002269969</v>
      </c>
      <c r="M508" s="110">
        <v>107.62819999999999</v>
      </c>
      <c r="N508" s="110">
        <v>0.83030610000000005</v>
      </c>
      <c r="O508" s="110"/>
      <c r="P508" s="110">
        <v>66.004480000000001</v>
      </c>
      <c r="Q508" s="110"/>
      <c r="R508" s="110"/>
      <c r="S508" s="110"/>
      <c r="T508" s="110"/>
    </row>
    <row r="509" spans="1:20">
      <c r="A509" s="110" t="s">
        <v>44</v>
      </c>
      <c r="B509" s="110" t="s">
        <v>65</v>
      </c>
      <c r="C509" s="110">
        <v>12700</v>
      </c>
      <c r="D509" s="110">
        <v>26.28003</v>
      </c>
      <c r="E509" s="110">
        <v>7142</v>
      </c>
      <c r="F509" s="110">
        <v>321.02</v>
      </c>
      <c r="G509" s="110">
        <v>0.83672724431104684</v>
      </c>
      <c r="H509" s="110">
        <v>1.5833051160085543</v>
      </c>
      <c r="I509" s="110"/>
      <c r="J509" s="110"/>
      <c r="K509" s="110">
        <v>0.92486696382193612</v>
      </c>
      <c r="L509" s="110">
        <v>1.5160388099991482</v>
      </c>
      <c r="M509" s="110">
        <v>105.06360000000001</v>
      </c>
      <c r="N509" s="110">
        <v>0.82573739999999995</v>
      </c>
      <c r="O509" s="110"/>
      <c r="P509" s="110">
        <v>68.061549999999997</v>
      </c>
      <c r="Q509" s="110"/>
      <c r="R509" s="110"/>
      <c r="S509" s="110"/>
      <c r="T509" s="110"/>
    </row>
    <row r="510" spans="1:20">
      <c r="A510" s="110" t="s">
        <v>44</v>
      </c>
      <c r="B510" s="110" t="s">
        <v>65</v>
      </c>
      <c r="C510" s="110">
        <v>12700</v>
      </c>
      <c r="D510" s="110">
        <v>26.28003</v>
      </c>
      <c r="E510" s="110">
        <v>7142</v>
      </c>
      <c r="F510" s="110">
        <v>321.02</v>
      </c>
      <c r="G510" s="110">
        <v>0.83672724431104684</v>
      </c>
      <c r="H510" s="110">
        <v>1.5833051160085543</v>
      </c>
      <c r="I510" s="110"/>
      <c r="J510" s="110"/>
      <c r="K510" s="110">
        <v>0.92424054069320749</v>
      </c>
      <c r="L510" s="110">
        <v>1.5162664691597663</v>
      </c>
      <c r="M510" s="110">
        <v>104.04689999999999</v>
      </c>
      <c r="N510" s="110">
        <v>0.8236829</v>
      </c>
      <c r="O510" s="110"/>
      <c r="P510" s="110">
        <v>68.843969999999999</v>
      </c>
      <c r="Q510" s="110"/>
      <c r="R510" s="110"/>
      <c r="S510" s="110"/>
      <c r="T510" s="110"/>
    </row>
    <row r="511" spans="1:20">
      <c r="A511" s="110" t="s">
        <v>44</v>
      </c>
      <c r="B511" s="110" t="s">
        <v>65</v>
      </c>
      <c r="C511" s="110">
        <v>12700</v>
      </c>
      <c r="D511" s="110">
        <v>26.28003</v>
      </c>
      <c r="E511" s="110">
        <v>7142</v>
      </c>
      <c r="F511" s="110">
        <v>321.02</v>
      </c>
      <c r="G511" s="110">
        <v>0.83672724431104684</v>
      </c>
      <c r="H511" s="110">
        <v>1.5833051160085543</v>
      </c>
      <c r="I511" s="110"/>
      <c r="J511" s="110"/>
      <c r="K511" s="110">
        <v>0.92366808028765046</v>
      </c>
      <c r="L511" s="110">
        <v>1.5164057378401823</v>
      </c>
      <c r="M511" s="110">
        <v>103.26430000000001</v>
      </c>
      <c r="N511" s="110">
        <v>0.82201020000000002</v>
      </c>
      <c r="O511" s="110"/>
      <c r="P511" s="110">
        <v>69.430000000000007</v>
      </c>
      <c r="Q511" s="110"/>
      <c r="R511" s="110"/>
      <c r="S511" s="110"/>
      <c r="T511" s="110"/>
    </row>
    <row r="512" spans="1:20">
      <c r="A512" s="110" t="s">
        <v>44</v>
      </c>
      <c r="B512" s="110" t="s">
        <v>65</v>
      </c>
      <c r="C512" s="110">
        <v>12700</v>
      </c>
      <c r="D512" s="110">
        <v>26.28003</v>
      </c>
      <c r="E512" s="110">
        <v>7142</v>
      </c>
      <c r="F512" s="110">
        <v>321.02</v>
      </c>
      <c r="G512" s="110">
        <v>0.83672724431104684</v>
      </c>
      <c r="H512" s="110">
        <v>1.5833051160085543</v>
      </c>
      <c r="I512" s="110"/>
      <c r="J512" s="110"/>
      <c r="K512" s="110">
        <v>0.92015058994823284</v>
      </c>
      <c r="L512" s="110">
        <v>1.516795284143881</v>
      </c>
      <c r="M512" s="110">
        <v>99.84850999999999</v>
      </c>
      <c r="N512" s="110">
        <v>0.81326739999999997</v>
      </c>
      <c r="O512" s="110"/>
      <c r="P512" s="110">
        <v>71.755769999999998</v>
      </c>
      <c r="Q512" s="110"/>
      <c r="R512" s="110"/>
      <c r="S512" s="110"/>
      <c r="T512" s="110"/>
    </row>
    <row r="513" spans="1:20">
      <c r="A513" s="110" t="s">
        <v>44</v>
      </c>
      <c r="B513" s="110" t="s">
        <v>65</v>
      </c>
      <c r="C513" s="110">
        <v>12700</v>
      </c>
      <c r="D513" s="110">
        <v>26.28003</v>
      </c>
      <c r="E513" s="110">
        <v>7142</v>
      </c>
      <c r="F513" s="110">
        <v>321.02</v>
      </c>
      <c r="G513" s="110">
        <v>0.83672724431104684</v>
      </c>
      <c r="H513" s="110">
        <v>1.5833051160085543</v>
      </c>
      <c r="I513" s="110"/>
      <c r="J513" s="110"/>
      <c r="K513" s="110">
        <v>0.91456873029495578</v>
      </c>
      <c r="L513" s="110">
        <v>1.516144379725985</v>
      </c>
      <c r="M513" s="110">
        <v>96.039100000000005</v>
      </c>
      <c r="N513" s="110">
        <v>0.80029170000000005</v>
      </c>
      <c r="O513" s="110"/>
      <c r="P513" s="110">
        <v>73.772660000000002</v>
      </c>
      <c r="Q513" s="110"/>
      <c r="R513" s="110"/>
      <c r="S513" s="110"/>
      <c r="T513" s="110"/>
    </row>
    <row r="514" spans="1:20">
      <c r="A514" s="110" t="s">
        <v>44</v>
      </c>
      <c r="B514" s="110" t="s">
        <v>65</v>
      </c>
      <c r="C514" s="110">
        <v>12700</v>
      </c>
      <c r="D514" s="110">
        <v>26.28003</v>
      </c>
      <c r="E514" s="110">
        <v>7142</v>
      </c>
      <c r="F514" s="110">
        <v>321.02</v>
      </c>
      <c r="G514" s="110">
        <v>0.83672724431104684</v>
      </c>
      <c r="H514" s="110">
        <v>1.5833051160085543</v>
      </c>
      <c r="I514" s="110"/>
      <c r="J514" s="110"/>
      <c r="K514" s="110">
        <v>0.91139007020098273</v>
      </c>
      <c r="L514" s="110">
        <v>1.515627435731655</v>
      </c>
      <c r="M514" s="110">
        <v>90.515289999999993</v>
      </c>
      <c r="N514" s="110">
        <v>0.77735869999999996</v>
      </c>
      <c r="O514" s="110"/>
      <c r="P514" s="110">
        <v>76.201070000000001</v>
      </c>
      <c r="Q514" s="110"/>
      <c r="R514" s="110"/>
      <c r="S514" s="110"/>
      <c r="T514" s="110"/>
    </row>
    <row r="515" spans="1:20">
      <c r="A515" s="110" t="s">
        <v>44</v>
      </c>
      <c r="B515" s="110" t="s">
        <v>65</v>
      </c>
      <c r="C515" s="110">
        <v>12700</v>
      </c>
      <c r="D515" s="110">
        <v>26.28003</v>
      </c>
      <c r="E515" s="110">
        <v>7142</v>
      </c>
      <c r="F515" s="110">
        <v>321.02</v>
      </c>
      <c r="G515" s="110">
        <v>0.83672724431104684</v>
      </c>
      <c r="H515" s="110">
        <v>1.5833051160085543</v>
      </c>
      <c r="I515" s="110"/>
      <c r="J515" s="110"/>
      <c r="K515" s="110">
        <v>0.90864853611539376</v>
      </c>
      <c r="L515" s="110">
        <v>1.5152213406990389</v>
      </c>
      <c r="M515" s="110">
        <v>86.638490000000004</v>
      </c>
      <c r="N515" s="110">
        <v>0.75831649999999995</v>
      </c>
      <c r="O515" s="110"/>
      <c r="P515" s="110">
        <v>77.555040000000005</v>
      </c>
      <c r="Q515" s="110"/>
      <c r="R515" s="110"/>
      <c r="S515" s="110"/>
      <c r="T515" s="110"/>
    </row>
    <row r="516" spans="1:20">
      <c r="A516" s="110" t="s">
        <v>44</v>
      </c>
      <c r="B516" s="110" t="s">
        <v>65</v>
      </c>
      <c r="C516" s="110">
        <v>12700</v>
      </c>
      <c r="D516" s="110">
        <v>26.28003</v>
      </c>
      <c r="E516" s="110">
        <v>7142</v>
      </c>
      <c r="F516" s="110">
        <v>321.02</v>
      </c>
      <c r="G516" s="110">
        <v>0.83672724431104684</v>
      </c>
      <c r="H516" s="110">
        <v>1.5833051160085543</v>
      </c>
      <c r="I516" s="110"/>
      <c r="J516" s="110"/>
      <c r="K516" s="110">
        <v>0.90361384127836852</v>
      </c>
      <c r="L516" s="110">
        <v>1.508095329650196</v>
      </c>
      <c r="M516" s="110">
        <v>78.800339999999991</v>
      </c>
      <c r="N516" s="110">
        <v>0.71298470000000003</v>
      </c>
      <c r="O516" s="110"/>
      <c r="P516" s="110">
        <v>79.46387</v>
      </c>
      <c r="Q516" s="110"/>
      <c r="R516" s="110"/>
      <c r="S516" s="110"/>
      <c r="T516" s="110"/>
    </row>
    <row r="517" spans="1:20">
      <c r="A517" s="110" t="s">
        <v>44</v>
      </c>
      <c r="B517" s="110" t="s">
        <v>65</v>
      </c>
      <c r="C517" s="110">
        <v>12700</v>
      </c>
      <c r="D517" s="110">
        <v>26.28003</v>
      </c>
      <c r="E517" s="110">
        <v>7142</v>
      </c>
      <c r="F517" s="110">
        <v>321.02</v>
      </c>
      <c r="G517" s="110">
        <v>0.83672724431104684</v>
      </c>
      <c r="H517" s="110">
        <v>1.5833051160085543</v>
      </c>
      <c r="I517" s="110"/>
      <c r="J517" s="110"/>
      <c r="K517" s="110">
        <v>0.90272028640862845</v>
      </c>
      <c r="L517" s="110">
        <v>1.5094766813522691</v>
      </c>
      <c r="M517" s="110">
        <v>75.867580000000004</v>
      </c>
      <c r="N517" s="110">
        <v>0.69434099999999999</v>
      </c>
      <c r="O517" s="110"/>
      <c r="P517" s="110">
        <v>80.038640000000001</v>
      </c>
      <c r="Q517" s="110"/>
      <c r="R517" s="110"/>
      <c r="S517" s="110"/>
      <c r="T517" s="110"/>
    </row>
    <row r="518" spans="1:20">
      <c r="A518" s="110" t="s">
        <v>44</v>
      </c>
      <c r="B518" s="110" t="s">
        <v>65</v>
      </c>
      <c r="C518" s="110">
        <v>12700</v>
      </c>
      <c r="D518" s="110">
        <v>26.28003</v>
      </c>
      <c r="E518" s="110">
        <v>7142</v>
      </c>
      <c r="F518" s="110">
        <v>321.02</v>
      </c>
      <c r="G518" s="110">
        <v>0.83672724431104684</v>
      </c>
      <c r="H518" s="110">
        <v>1.5833051160085543</v>
      </c>
      <c r="I518" s="110"/>
      <c r="J518" s="110"/>
      <c r="K518" s="110">
        <v>0.89781188482234275</v>
      </c>
      <c r="L518" s="110">
        <v>1.4988357506393855</v>
      </c>
      <c r="M518" s="110">
        <v>69.655429999999996</v>
      </c>
      <c r="N518" s="110">
        <v>0.65267520000000001</v>
      </c>
      <c r="O518" s="110"/>
      <c r="P518" s="110">
        <v>81.158259999999999</v>
      </c>
      <c r="Q518" s="110"/>
      <c r="R518" s="110"/>
      <c r="S518" s="110"/>
      <c r="T518" s="110"/>
    </row>
    <row r="519" spans="1:20">
      <c r="A519" s="110" t="s">
        <v>44</v>
      </c>
      <c r="B519" s="110" t="s">
        <v>65</v>
      </c>
      <c r="C519" s="110">
        <v>12700</v>
      </c>
      <c r="D519" s="110">
        <v>26.28003</v>
      </c>
      <c r="E519" s="110">
        <v>7142</v>
      </c>
      <c r="F519" s="110">
        <v>321.02</v>
      </c>
      <c r="G519" s="110">
        <v>0.83672724431104684</v>
      </c>
      <c r="H519" s="110">
        <v>1.5833051160085543</v>
      </c>
      <c r="I519" s="110"/>
      <c r="J519" s="110"/>
      <c r="K519" s="110">
        <v>0.89892054810121047</v>
      </c>
      <c r="L519" s="110">
        <v>1.4992874238960461</v>
      </c>
      <c r="M519" s="110">
        <v>65.034959999999998</v>
      </c>
      <c r="N519" s="110">
        <v>0.61960950000000004</v>
      </c>
      <c r="O519" s="110"/>
      <c r="P519" s="110">
        <v>81.860780000000005</v>
      </c>
      <c r="Q519" s="110"/>
      <c r="R519" s="110"/>
      <c r="S519" s="110"/>
      <c r="T519" s="110"/>
    </row>
    <row r="520" spans="1:20">
      <c r="A520" s="110" t="s">
        <v>44</v>
      </c>
      <c r="B520" s="110" t="s">
        <v>65</v>
      </c>
      <c r="C520" s="110">
        <v>12700</v>
      </c>
      <c r="D520" s="110">
        <v>26.28003</v>
      </c>
      <c r="E520" s="110">
        <v>7142</v>
      </c>
      <c r="F520" s="110">
        <v>321.02</v>
      </c>
      <c r="G520" s="110">
        <v>0.83672724431104684</v>
      </c>
      <c r="H520" s="110">
        <v>1.5833051160085543</v>
      </c>
      <c r="I520" s="110"/>
      <c r="J520" s="110"/>
      <c r="K520" s="110">
        <v>0.89599875084770797</v>
      </c>
      <c r="L520" s="110">
        <v>1.4848646246901895</v>
      </c>
      <c r="M520" s="110">
        <v>56.145989999999998</v>
      </c>
      <c r="N520" s="110">
        <v>0.55091630000000003</v>
      </c>
      <c r="O520" s="110"/>
      <c r="P520" s="110">
        <v>82.921930000000003</v>
      </c>
      <c r="Q520" s="110"/>
      <c r="R520" s="110"/>
      <c r="S520" s="110"/>
      <c r="T520" s="110"/>
    </row>
    <row r="521" spans="1:20">
      <c r="A521" s="110" t="s">
        <v>44</v>
      </c>
      <c r="B521" s="110" t="s">
        <v>65</v>
      </c>
      <c r="C521" s="110">
        <v>12065</v>
      </c>
      <c r="D521" s="110">
        <v>26.28003</v>
      </c>
      <c r="E521" s="110">
        <v>7142</v>
      </c>
      <c r="F521" s="110">
        <v>321.02</v>
      </c>
      <c r="G521" s="110">
        <v>0.83672724431104684</v>
      </c>
      <c r="H521" s="110">
        <v>1.5833051160085543</v>
      </c>
      <c r="I521" s="110"/>
      <c r="J521" s="110"/>
      <c r="K521" s="110">
        <v>0.93250274371006381</v>
      </c>
      <c r="L521" s="110">
        <v>1.5036264444036596</v>
      </c>
      <c r="M521" s="110">
        <v>110.2139</v>
      </c>
      <c r="N521" s="110">
        <v>0.8184652</v>
      </c>
      <c r="O521" s="110"/>
      <c r="P521" s="110">
        <v>42.969799999999999</v>
      </c>
      <c r="Q521" s="110"/>
      <c r="R521" s="110"/>
      <c r="S521" s="110"/>
      <c r="T521" s="110"/>
    </row>
    <row r="522" spans="1:20">
      <c r="A522" s="110" t="s">
        <v>44</v>
      </c>
      <c r="B522" s="110" t="s">
        <v>65</v>
      </c>
      <c r="C522" s="110">
        <v>12065</v>
      </c>
      <c r="D522" s="110">
        <v>26.28003</v>
      </c>
      <c r="E522" s="110">
        <v>7142</v>
      </c>
      <c r="F522" s="110">
        <v>321.02</v>
      </c>
      <c r="G522" s="110">
        <v>0.83672724431104684</v>
      </c>
      <c r="H522" s="110">
        <v>1.5833051160085543</v>
      </c>
      <c r="I522" s="110"/>
      <c r="J522" s="110"/>
      <c r="K522" s="110">
        <v>0.93174839946065668</v>
      </c>
      <c r="L522" s="110">
        <v>1.5042012949515913</v>
      </c>
      <c r="M522" s="110">
        <v>109.89</v>
      </c>
      <c r="N522" s="110">
        <v>0.81991579999999997</v>
      </c>
      <c r="O522" s="110"/>
      <c r="P522" s="110">
        <v>43.662489999999998</v>
      </c>
      <c r="Q522" s="110"/>
      <c r="R522" s="110"/>
      <c r="S522" s="110"/>
      <c r="T522" s="110"/>
    </row>
    <row r="523" spans="1:20">
      <c r="A523" s="110" t="s">
        <v>44</v>
      </c>
      <c r="B523" s="110" t="s">
        <v>65</v>
      </c>
      <c r="C523" s="110">
        <v>12065</v>
      </c>
      <c r="D523" s="110">
        <v>26.28003</v>
      </c>
      <c r="E523" s="110">
        <v>7142</v>
      </c>
      <c r="F523" s="110">
        <v>321.02</v>
      </c>
      <c r="G523" s="110">
        <v>0.83672724431104684</v>
      </c>
      <c r="H523" s="110">
        <v>1.5833051160085543</v>
      </c>
      <c r="I523" s="110"/>
      <c r="J523" s="110"/>
      <c r="K523" s="110">
        <v>0.93138104854947357</v>
      </c>
      <c r="L523" s="110">
        <v>1.5044666850564701</v>
      </c>
      <c r="M523" s="110">
        <v>109.7321</v>
      </c>
      <c r="N523" s="110">
        <v>0.82058279999999995</v>
      </c>
      <c r="O523" s="110"/>
      <c r="P523" s="110">
        <v>43.988750000000003</v>
      </c>
      <c r="Q523" s="110"/>
      <c r="R523" s="110"/>
      <c r="S523" s="110"/>
      <c r="T523" s="110"/>
    </row>
    <row r="524" spans="1:20">
      <c r="A524" s="110" t="s">
        <v>44</v>
      </c>
      <c r="B524" s="110" t="s">
        <v>65</v>
      </c>
      <c r="C524" s="110">
        <v>12065</v>
      </c>
      <c r="D524" s="110">
        <v>26.28003</v>
      </c>
      <c r="E524" s="110">
        <v>7142</v>
      </c>
      <c r="F524" s="110">
        <v>321.02</v>
      </c>
      <c r="G524" s="110">
        <v>0.83672724431104684</v>
      </c>
      <c r="H524" s="110">
        <v>1.5833051160085543</v>
      </c>
      <c r="I524" s="110"/>
      <c r="J524" s="110"/>
      <c r="K524" s="110">
        <v>0.92811393838404765</v>
      </c>
      <c r="L524" s="110">
        <v>1.5065303976092157</v>
      </c>
      <c r="M524" s="110">
        <v>108.32550000000001</v>
      </c>
      <c r="N524" s="110">
        <v>0.82567659999999998</v>
      </c>
      <c r="O524" s="110"/>
      <c r="P524" s="110">
        <v>46.664230000000003</v>
      </c>
      <c r="Q524" s="110"/>
      <c r="R524" s="110"/>
      <c r="S524" s="110"/>
      <c r="T524" s="110"/>
    </row>
    <row r="525" spans="1:20">
      <c r="A525" s="110" t="s">
        <v>44</v>
      </c>
      <c r="B525" s="110" t="s">
        <v>65</v>
      </c>
      <c r="C525" s="110">
        <v>12065</v>
      </c>
      <c r="D525" s="110">
        <v>26.28003</v>
      </c>
      <c r="E525" s="110">
        <v>7142</v>
      </c>
      <c r="F525" s="110">
        <v>321.02</v>
      </c>
      <c r="G525" s="110">
        <v>0.83672724431104684</v>
      </c>
      <c r="H525" s="110">
        <v>1.5833051160085543</v>
      </c>
      <c r="I525" s="110"/>
      <c r="J525" s="110"/>
      <c r="K525" s="110">
        <v>0.92518818176822171</v>
      </c>
      <c r="L525" s="110">
        <v>1.5155066947602631</v>
      </c>
      <c r="M525" s="110">
        <v>105.49250000000001</v>
      </c>
      <c r="N525" s="110">
        <v>0.83233769999999996</v>
      </c>
      <c r="O525" s="110"/>
      <c r="P525" s="110">
        <v>50.991759999999999</v>
      </c>
      <c r="Q525" s="110"/>
      <c r="R525" s="110"/>
      <c r="S525" s="110"/>
      <c r="T525" s="110"/>
    </row>
    <row r="526" spans="1:20">
      <c r="A526" s="110" t="s">
        <v>44</v>
      </c>
      <c r="B526" s="110" t="s">
        <v>65</v>
      </c>
      <c r="C526" s="110">
        <v>12065</v>
      </c>
      <c r="D526" s="110">
        <v>26.28003</v>
      </c>
      <c r="E526" s="110">
        <v>7142</v>
      </c>
      <c r="F526" s="110">
        <v>321.02</v>
      </c>
      <c r="G526" s="110">
        <v>0.83672724431104684</v>
      </c>
      <c r="H526" s="110">
        <v>1.5833051160085543</v>
      </c>
      <c r="I526" s="110"/>
      <c r="J526" s="110"/>
      <c r="K526" s="110">
        <v>0.92344195749620828</v>
      </c>
      <c r="L526" s="110">
        <v>1.5176105140977862</v>
      </c>
      <c r="M526" s="110">
        <v>103.6422</v>
      </c>
      <c r="N526" s="110">
        <v>0.83473090000000005</v>
      </c>
      <c r="O526" s="110"/>
      <c r="P526" s="110">
        <v>53.570410000000003</v>
      </c>
      <c r="Q526" s="110"/>
      <c r="R526" s="110"/>
      <c r="S526" s="110"/>
      <c r="T526" s="110"/>
    </row>
    <row r="527" spans="1:20">
      <c r="A527" s="110" t="s">
        <v>44</v>
      </c>
      <c r="B527" s="110" t="s">
        <v>65</v>
      </c>
      <c r="C527" s="110">
        <v>12065</v>
      </c>
      <c r="D527" s="110">
        <v>26.28003</v>
      </c>
      <c r="E527" s="110">
        <v>7142</v>
      </c>
      <c r="F527" s="110">
        <v>321.02</v>
      </c>
      <c r="G527" s="110">
        <v>0.83672724431104684</v>
      </c>
      <c r="H527" s="110">
        <v>1.5833051160085543</v>
      </c>
      <c r="I527" s="110"/>
      <c r="J527" s="110"/>
      <c r="K527" s="110">
        <v>0.9221058656842045</v>
      </c>
      <c r="L527" s="110">
        <v>1.5187955381604505</v>
      </c>
      <c r="M527" s="110">
        <v>102.43600000000001</v>
      </c>
      <c r="N527" s="110">
        <v>0.83529900000000001</v>
      </c>
      <c r="O527" s="110"/>
      <c r="P527" s="110">
        <v>55.152349999999998</v>
      </c>
      <c r="Q527" s="110"/>
      <c r="R527" s="110"/>
      <c r="S527" s="110"/>
      <c r="T527" s="110"/>
    </row>
    <row r="528" spans="1:20">
      <c r="A528" s="110" t="s">
        <v>44</v>
      </c>
      <c r="B528" s="110" t="s">
        <v>65</v>
      </c>
      <c r="C528" s="110">
        <v>12065</v>
      </c>
      <c r="D528" s="110">
        <v>26.28003</v>
      </c>
      <c r="E528" s="110">
        <v>7142</v>
      </c>
      <c r="F528" s="110">
        <v>321.02</v>
      </c>
      <c r="G528" s="110">
        <v>0.83672724431104684</v>
      </c>
      <c r="H528" s="110">
        <v>1.5833051160085543</v>
      </c>
      <c r="I528" s="110"/>
      <c r="J528" s="110"/>
      <c r="K528" s="110">
        <v>0.92078698174190332</v>
      </c>
      <c r="L528" s="110">
        <v>1.5196803780393939</v>
      </c>
      <c r="M528" s="110">
        <v>101.3498</v>
      </c>
      <c r="N528" s="110">
        <v>0.83534980000000003</v>
      </c>
      <c r="O528" s="110"/>
      <c r="P528" s="110">
        <v>56.503729999999997</v>
      </c>
      <c r="Q528" s="110"/>
      <c r="R528" s="110"/>
      <c r="S528" s="110"/>
      <c r="T528" s="110"/>
    </row>
    <row r="529" spans="1:20">
      <c r="A529" s="110" t="s">
        <v>44</v>
      </c>
      <c r="B529" s="110" t="s">
        <v>65</v>
      </c>
      <c r="C529" s="110">
        <v>12065</v>
      </c>
      <c r="D529" s="110">
        <v>26.28003</v>
      </c>
      <c r="E529" s="110">
        <v>7142</v>
      </c>
      <c r="F529" s="110">
        <v>321.02</v>
      </c>
      <c r="G529" s="110">
        <v>0.83672724431104684</v>
      </c>
      <c r="H529" s="110">
        <v>1.5833051160085543</v>
      </c>
      <c r="I529" s="110"/>
      <c r="J529" s="110"/>
      <c r="K529" s="110">
        <v>0.91854233304389676</v>
      </c>
      <c r="L529" s="110">
        <v>1.5207205901711509</v>
      </c>
      <c r="M529" s="110">
        <v>99.68992999999999</v>
      </c>
      <c r="N529" s="110">
        <v>0.83473070000000005</v>
      </c>
      <c r="O529" s="110"/>
      <c r="P529" s="110">
        <v>58.376249999999999</v>
      </c>
      <c r="Q529" s="110"/>
      <c r="R529" s="110"/>
      <c r="S529" s="110"/>
      <c r="T529" s="110"/>
    </row>
    <row r="530" spans="1:20">
      <c r="A530" s="110" t="s">
        <v>44</v>
      </c>
      <c r="B530" s="110" t="s">
        <v>65</v>
      </c>
      <c r="C530" s="110">
        <v>12065</v>
      </c>
      <c r="D530" s="110">
        <v>26.28003</v>
      </c>
      <c r="E530" s="110">
        <v>7142</v>
      </c>
      <c r="F530" s="110">
        <v>321.02</v>
      </c>
      <c r="G530" s="110">
        <v>0.83672724431104684</v>
      </c>
      <c r="H530" s="110">
        <v>1.5833051160085543</v>
      </c>
      <c r="I530" s="110"/>
      <c r="J530" s="110"/>
      <c r="K530" s="110">
        <v>0.91648890562881524</v>
      </c>
      <c r="L530" s="110">
        <v>1.5212768246711676</v>
      </c>
      <c r="M530" s="110">
        <v>98.305320000000009</v>
      </c>
      <c r="N530" s="110">
        <v>0.83311840000000004</v>
      </c>
      <c r="O530" s="110"/>
      <c r="P530" s="110">
        <v>59.73021</v>
      </c>
      <c r="Q530" s="110"/>
      <c r="R530" s="110"/>
      <c r="S530" s="110"/>
      <c r="T530" s="110"/>
    </row>
    <row r="531" spans="1:20">
      <c r="A531" s="110" t="s">
        <v>44</v>
      </c>
      <c r="B531" s="110" t="s">
        <v>65</v>
      </c>
      <c r="C531" s="110">
        <v>12065</v>
      </c>
      <c r="D531" s="110">
        <v>26.28003</v>
      </c>
      <c r="E531" s="110">
        <v>7142</v>
      </c>
      <c r="F531" s="110">
        <v>321.02</v>
      </c>
      <c r="G531" s="110">
        <v>0.83672724431104684</v>
      </c>
      <c r="H531" s="110">
        <v>1.5833051160085543</v>
      </c>
      <c r="I531" s="110"/>
      <c r="J531" s="110"/>
      <c r="K531" s="110">
        <v>0.91225882459704144</v>
      </c>
      <c r="L531" s="110">
        <v>1.52188446525563</v>
      </c>
      <c r="M531" s="110">
        <v>95.779399999999995</v>
      </c>
      <c r="N531" s="110">
        <v>0.82857729999999996</v>
      </c>
      <c r="O531" s="110"/>
      <c r="P531" s="110">
        <v>61.915219999999998</v>
      </c>
      <c r="Q531" s="110"/>
      <c r="R531" s="110"/>
      <c r="S531" s="110"/>
      <c r="T531" s="110"/>
    </row>
    <row r="532" spans="1:20">
      <c r="A532" s="110" t="s">
        <v>44</v>
      </c>
      <c r="B532" s="110" t="s">
        <v>65</v>
      </c>
      <c r="C532" s="110">
        <v>12065</v>
      </c>
      <c r="D532" s="110">
        <v>26.28003</v>
      </c>
      <c r="E532" s="110">
        <v>7142</v>
      </c>
      <c r="F532" s="110">
        <v>321.02</v>
      </c>
      <c r="G532" s="110">
        <v>0.83672724431104684</v>
      </c>
      <c r="H532" s="110">
        <v>1.5833051160085543</v>
      </c>
      <c r="I532" s="110"/>
      <c r="J532" s="110"/>
      <c r="K532" s="110">
        <v>0.90965880561227452</v>
      </c>
      <c r="L532" s="110">
        <v>1.5221262483631404</v>
      </c>
      <c r="M532" s="110">
        <v>94.385300000000001</v>
      </c>
      <c r="N532" s="110">
        <v>0.82553390000000004</v>
      </c>
      <c r="O532" s="110"/>
      <c r="P532" s="110">
        <v>63.055599999999998</v>
      </c>
      <c r="Q532" s="110"/>
      <c r="R532" s="110"/>
      <c r="S532" s="110"/>
      <c r="T532" s="110"/>
    </row>
    <row r="533" spans="1:20">
      <c r="A533" s="110" t="s">
        <v>44</v>
      </c>
      <c r="B533" s="110" t="s">
        <v>65</v>
      </c>
      <c r="C533" s="110">
        <v>12065</v>
      </c>
      <c r="D533" s="110">
        <v>26.28003</v>
      </c>
      <c r="E533" s="110">
        <v>7142</v>
      </c>
      <c r="F533" s="110">
        <v>321.02</v>
      </c>
      <c r="G533" s="110">
        <v>0.83672724431104684</v>
      </c>
      <c r="H533" s="110">
        <v>1.5833051160085543</v>
      </c>
      <c r="I533" s="110"/>
      <c r="J533" s="110"/>
      <c r="K533" s="110">
        <v>0.90728908730195912</v>
      </c>
      <c r="L533" s="110">
        <v>1.5245481510380154</v>
      </c>
      <c r="M533" s="110">
        <v>88.871560000000002</v>
      </c>
      <c r="N533" s="110">
        <v>0.80969089999999999</v>
      </c>
      <c r="O533" s="110"/>
      <c r="P533" s="110">
        <v>66.983729999999994</v>
      </c>
      <c r="Q533" s="110"/>
      <c r="R533" s="110"/>
      <c r="S533" s="110"/>
      <c r="T533" s="110"/>
    </row>
    <row r="534" spans="1:20">
      <c r="A534" s="110" t="s">
        <v>44</v>
      </c>
      <c r="B534" s="110" t="s">
        <v>65</v>
      </c>
      <c r="C534" s="110">
        <v>12065</v>
      </c>
      <c r="D534" s="110">
        <v>26.28003</v>
      </c>
      <c r="E534" s="110">
        <v>7142</v>
      </c>
      <c r="F534" s="110">
        <v>321.02</v>
      </c>
      <c r="G534" s="110">
        <v>0.83672724431104684</v>
      </c>
      <c r="H534" s="110">
        <v>1.5833051160085543</v>
      </c>
      <c r="I534" s="110"/>
      <c r="J534" s="110"/>
      <c r="K534" s="110">
        <v>0.90464912884614401</v>
      </c>
      <c r="L534" s="110">
        <v>1.524872997985792</v>
      </c>
      <c r="M534" s="110">
        <v>86.088449999999995</v>
      </c>
      <c r="N534" s="110">
        <v>0.79865260000000005</v>
      </c>
      <c r="O534" s="110"/>
      <c r="P534" s="110">
        <v>68.526910000000001</v>
      </c>
      <c r="Q534" s="110"/>
      <c r="R534" s="110"/>
      <c r="S534" s="110"/>
      <c r="T534" s="110"/>
    </row>
    <row r="535" spans="1:20">
      <c r="A535" s="110" t="s">
        <v>44</v>
      </c>
      <c r="B535" s="110" t="s">
        <v>65</v>
      </c>
      <c r="C535" s="110">
        <v>12065</v>
      </c>
      <c r="D535" s="110">
        <v>26.28003</v>
      </c>
      <c r="E535" s="110">
        <v>7142</v>
      </c>
      <c r="F535" s="110">
        <v>321.02</v>
      </c>
      <c r="G535" s="110">
        <v>0.83672724431104684</v>
      </c>
      <c r="H535" s="110">
        <v>1.5833051160085543</v>
      </c>
      <c r="I535" s="110"/>
      <c r="J535" s="110"/>
      <c r="K535" s="110">
        <v>0.89883301615362066</v>
      </c>
      <c r="L535" s="110">
        <v>1.5193830391195786</v>
      </c>
      <c r="M535" s="110">
        <v>80.587410000000006</v>
      </c>
      <c r="N535" s="110">
        <v>0.77195519999999995</v>
      </c>
      <c r="O535" s="110"/>
      <c r="P535" s="110">
        <v>70.964479999999995</v>
      </c>
      <c r="Q535" s="110"/>
      <c r="R535" s="110"/>
      <c r="S535" s="110"/>
      <c r="T535" s="110"/>
    </row>
    <row r="536" spans="1:20">
      <c r="A536" s="110" t="s">
        <v>44</v>
      </c>
      <c r="B536" s="110" t="s">
        <v>65</v>
      </c>
      <c r="C536" s="110">
        <v>12065</v>
      </c>
      <c r="D536" s="110">
        <v>26.28003</v>
      </c>
      <c r="E536" s="110">
        <v>7142</v>
      </c>
      <c r="F536" s="110">
        <v>321.02</v>
      </c>
      <c r="G536" s="110">
        <v>0.83672724431104684</v>
      </c>
      <c r="H536" s="110">
        <v>1.5833051160085543</v>
      </c>
      <c r="I536" s="110"/>
      <c r="J536" s="110"/>
      <c r="K536" s="110">
        <v>0.89885516970016599</v>
      </c>
      <c r="L536" s="110">
        <v>1.5198943657617472</v>
      </c>
      <c r="M536" s="110">
        <v>77.763469999999998</v>
      </c>
      <c r="N536" s="110">
        <v>0.75602449999999999</v>
      </c>
      <c r="O536" s="110"/>
      <c r="P536" s="110">
        <v>71.998900000000006</v>
      </c>
      <c r="Q536" s="110"/>
      <c r="R536" s="110"/>
      <c r="S536" s="110"/>
      <c r="T536" s="110"/>
    </row>
    <row r="537" spans="1:20">
      <c r="A537" s="110" t="s">
        <v>44</v>
      </c>
      <c r="B537" s="110" t="s">
        <v>65</v>
      </c>
      <c r="C537" s="110">
        <v>12065</v>
      </c>
      <c r="D537" s="110">
        <v>26.28003</v>
      </c>
      <c r="E537" s="110">
        <v>7142</v>
      </c>
      <c r="F537" s="110">
        <v>321.02</v>
      </c>
      <c r="G537" s="110">
        <v>0.83672724431104684</v>
      </c>
      <c r="H537" s="110">
        <v>1.5833051160085543</v>
      </c>
      <c r="I537" s="110"/>
      <c r="J537" s="110"/>
      <c r="K537" s="110">
        <v>0.89459912984784584</v>
      </c>
      <c r="L537" s="110">
        <v>1.5201697006721151</v>
      </c>
      <c r="M537" s="110">
        <v>71.627570000000006</v>
      </c>
      <c r="N537" s="110">
        <v>0.71726069999999997</v>
      </c>
      <c r="O537" s="110"/>
      <c r="P537" s="110">
        <v>73.832589999999996</v>
      </c>
      <c r="Q537" s="110"/>
      <c r="R537" s="110"/>
      <c r="S537" s="110"/>
      <c r="T537" s="110"/>
    </row>
    <row r="538" spans="1:20">
      <c r="A538" s="110" t="s">
        <v>44</v>
      </c>
      <c r="B538" s="110" t="s">
        <v>65</v>
      </c>
      <c r="C538" s="110">
        <v>12065</v>
      </c>
      <c r="D538" s="110">
        <v>26.28003</v>
      </c>
      <c r="E538" s="110">
        <v>7142</v>
      </c>
      <c r="F538" s="110">
        <v>321.02</v>
      </c>
      <c r="G538" s="110">
        <v>0.83672724431104684</v>
      </c>
      <c r="H538" s="110">
        <v>1.5833051160085543</v>
      </c>
      <c r="I538" s="110"/>
      <c r="J538" s="110"/>
      <c r="K538" s="110">
        <v>0.89316658643740843</v>
      </c>
      <c r="L538" s="110">
        <v>1.5110680116668933</v>
      </c>
      <c r="M538" s="110">
        <v>68.075050000000005</v>
      </c>
      <c r="N538" s="110">
        <v>0.692222</v>
      </c>
      <c r="O538" s="110"/>
      <c r="P538" s="110">
        <v>74.650840000000002</v>
      </c>
      <c r="Q538" s="110"/>
      <c r="R538" s="110"/>
      <c r="S538" s="110"/>
      <c r="T538" s="110"/>
    </row>
    <row r="539" spans="1:20">
      <c r="A539" s="110" t="s">
        <v>44</v>
      </c>
      <c r="B539" s="110" t="s">
        <v>65</v>
      </c>
      <c r="C539" s="110">
        <v>12065</v>
      </c>
      <c r="D539" s="110">
        <v>26.28003</v>
      </c>
      <c r="E539" s="110">
        <v>7142</v>
      </c>
      <c r="F539" s="110">
        <v>321.02</v>
      </c>
      <c r="G539" s="110">
        <v>0.83672724431104684</v>
      </c>
      <c r="H539" s="110">
        <v>1.5833051160085543</v>
      </c>
      <c r="I539" s="110"/>
      <c r="J539" s="110"/>
      <c r="K539" s="110">
        <v>0.89203364503087268</v>
      </c>
      <c r="L539" s="110">
        <v>1.5127852035960991</v>
      </c>
      <c r="M539" s="110">
        <v>61.390029999999996</v>
      </c>
      <c r="N539" s="110">
        <v>0.64157719999999996</v>
      </c>
      <c r="O539" s="110"/>
      <c r="P539" s="110">
        <v>75.868499999999997</v>
      </c>
      <c r="Q539" s="110"/>
      <c r="R539" s="110"/>
      <c r="S539" s="110"/>
      <c r="T539" s="110"/>
    </row>
    <row r="540" spans="1:20">
      <c r="A540" s="110" t="s">
        <v>44</v>
      </c>
      <c r="B540" s="110" t="s">
        <v>65</v>
      </c>
      <c r="C540" s="110">
        <v>12065</v>
      </c>
      <c r="D540" s="110">
        <v>26.28003</v>
      </c>
      <c r="E540" s="110">
        <v>7142</v>
      </c>
      <c r="F540" s="110">
        <v>321.02</v>
      </c>
      <c r="G540" s="110">
        <v>0.83672724431104684</v>
      </c>
      <c r="H540" s="110">
        <v>1.5833051160085543</v>
      </c>
      <c r="I540" s="110"/>
      <c r="J540" s="110"/>
      <c r="K540" s="110">
        <v>0.88888283040460703</v>
      </c>
      <c r="L540" s="110">
        <v>1.4982051056554324</v>
      </c>
      <c r="M540" s="110">
        <v>58.096919999999997</v>
      </c>
      <c r="N540" s="110">
        <v>0.61496119999999999</v>
      </c>
      <c r="O540" s="110"/>
      <c r="P540" s="110">
        <v>76.388030000000001</v>
      </c>
      <c r="Q540" s="110"/>
      <c r="R540" s="110"/>
      <c r="S540" s="110"/>
      <c r="T540" s="110"/>
    </row>
    <row r="541" spans="1:20">
      <c r="A541" s="110" t="s">
        <v>44</v>
      </c>
      <c r="B541" s="110" t="s">
        <v>65</v>
      </c>
      <c r="C541" s="110">
        <v>12065</v>
      </c>
      <c r="D541" s="110">
        <v>26.28003</v>
      </c>
      <c r="E541" s="110">
        <v>7142</v>
      </c>
      <c r="F541" s="110">
        <v>321.02</v>
      </c>
      <c r="G541" s="110">
        <v>0.83672724431104684</v>
      </c>
      <c r="H541" s="110">
        <v>1.5833051160085543</v>
      </c>
      <c r="I541" s="110"/>
      <c r="J541" s="110"/>
      <c r="K541" s="110">
        <v>0.89113430606375532</v>
      </c>
      <c r="L541" s="110">
        <v>1.5000629181040137</v>
      </c>
      <c r="M541" s="110">
        <v>51.16301</v>
      </c>
      <c r="N541" s="110">
        <v>0.55569729999999995</v>
      </c>
      <c r="O541" s="110"/>
      <c r="P541" s="110">
        <v>77.381990000000002</v>
      </c>
      <c r="Q541" s="110"/>
      <c r="R541" s="110"/>
      <c r="S541" s="110"/>
      <c r="T541" s="110"/>
    </row>
    <row r="542" spans="1:20">
      <c r="A542" s="110" t="s">
        <v>44</v>
      </c>
      <c r="B542" s="110" t="s">
        <v>65</v>
      </c>
      <c r="C542" s="110">
        <v>12065</v>
      </c>
      <c r="D542" s="110">
        <v>26.28003</v>
      </c>
      <c r="E542" s="110">
        <v>7142</v>
      </c>
      <c r="F542" s="110">
        <v>321.02</v>
      </c>
      <c r="G542" s="110">
        <v>0.83672724431104684</v>
      </c>
      <c r="H542" s="110">
        <v>1.5833051160085543</v>
      </c>
      <c r="I542" s="110"/>
      <c r="J542" s="110"/>
      <c r="K542" s="110">
        <v>0.88825357856025444</v>
      </c>
      <c r="L542" s="110">
        <v>1.501053335110317</v>
      </c>
      <c r="M542" s="110">
        <v>46.919879999999999</v>
      </c>
      <c r="N542" s="110">
        <v>0.51733300000000004</v>
      </c>
      <c r="O542" s="110"/>
      <c r="P542" s="110">
        <v>77.926630000000003</v>
      </c>
      <c r="Q542" s="110"/>
      <c r="R542" s="110"/>
      <c r="S542" s="110"/>
      <c r="T542" s="110"/>
    </row>
    <row r="543" spans="1:20">
      <c r="A543" s="110" t="s">
        <v>44</v>
      </c>
      <c r="B543" s="110" t="s">
        <v>65</v>
      </c>
      <c r="C543" s="110">
        <v>11430</v>
      </c>
      <c r="D543" s="110">
        <v>26.28003</v>
      </c>
      <c r="E543" s="110">
        <v>7142</v>
      </c>
      <c r="F543" s="110">
        <v>321.02</v>
      </c>
      <c r="G543" s="110">
        <v>0.83672724431104684</v>
      </c>
      <c r="H543" s="110">
        <v>1.5833051160085543</v>
      </c>
      <c r="I543" s="110"/>
      <c r="J543" s="110"/>
      <c r="K543" s="110">
        <v>0.91989203310527956</v>
      </c>
      <c r="L543" s="110">
        <v>1.5136886549969246</v>
      </c>
      <c r="M543" s="110">
        <v>99.238199999999992</v>
      </c>
      <c r="N543" s="110">
        <v>0.8177991</v>
      </c>
      <c r="O543" s="110"/>
      <c r="P543" s="110">
        <v>38.601750000000003</v>
      </c>
      <c r="Q543" s="110"/>
      <c r="R543" s="110"/>
      <c r="S543" s="110"/>
      <c r="T543" s="110"/>
    </row>
    <row r="544" spans="1:20">
      <c r="A544" s="110" t="s">
        <v>44</v>
      </c>
      <c r="B544" s="110" t="s">
        <v>65</v>
      </c>
      <c r="C544" s="110">
        <v>11430</v>
      </c>
      <c r="D544" s="110">
        <v>26.28003</v>
      </c>
      <c r="E544" s="110">
        <v>7142</v>
      </c>
      <c r="F544" s="110">
        <v>321.02</v>
      </c>
      <c r="G544" s="110">
        <v>0.83672724431104684</v>
      </c>
      <c r="H544" s="110">
        <v>1.5833051160085543</v>
      </c>
      <c r="I544" s="110"/>
      <c r="J544" s="110"/>
      <c r="K544" s="110">
        <v>0.9185418287060183</v>
      </c>
      <c r="L544" s="110">
        <v>1.5152094243108272</v>
      </c>
      <c r="M544" s="110">
        <v>98.606449999999995</v>
      </c>
      <c r="N544" s="110">
        <v>0.82107980000000003</v>
      </c>
      <c r="O544" s="110"/>
      <c r="P544" s="110">
        <v>40.015270000000001</v>
      </c>
      <c r="Q544" s="110"/>
      <c r="R544" s="110"/>
      <c r="S544" s="110"/>
      <c r="T544" s="110"/>
    </row>
    <row r="545" spans="1:20">
      <c r="A545" s="110" t="s">
        <v>44</v>
      </c>
      <c r="B545" s="110" t="s">
        <v>65</v>
      </c>
      <c r="C545" s="110">
        <v>11430</v>
      </c>
      <c r="D545" s="110">
        <v>26.28003</v>
      </c>
      <c r="E545" s="110">
        <v>7142</v>
      </c>
      <c r="F545" s="110">
        <v>321.02</v>
      </c>
      <c r="G545" s="110">
        <v>0.83672724431104684</v>
      </c>
      <c r="H545" s="110">
        <v>1.5833051160085543</v>
      </c>
      <c r="I545" s="110"/>
      <c r="J545" s="110"/>
      <c r="K545" s="110">
        <v>0.91710244696249543</v>
      </c>
      <c r="L545" s="110">
        <v>1.5165887264396383</v>
      </c>
      <c r="M545" s="110">
        <v>97.93025999999999</v>
      </c>
      <c r="N545" s="110">
        <v>0.82403320000000002</v>
      </c>
      <c r="O545" s="110"/>
      <c r="P545" s="110">
        <v>41.39311</v>
      </c>
      <c r="Q545" s="110"/>
      <c r="R545" s="110"/>
      <c r="S545" s="110"/>
      <c r="T545" s="110"/>
    </row>
    <row r="546" spans="1:20">
      <c r="A546" s="110" t="s">
        <v>44</v>
      </c>
      <c r="B546" s="110" t="s">
        <v>65</v>
      </c>
      <c r="C546" s="110">
        <v>11430</v>
      </c>
      <c r="D546" s="110">
        <v>26.28003</v>
      </c>
      <c r="E546" s="110">
        <v>7142</v>
      </c>
      <c r="F546" s="110">
        <v>321.02</v>
      </c>
      <c r="G546" s="110">
        <v>0.83672724431104684</v>
      </c>
      <c r="H546" s="110">
        <v>1.5833051160085543</v>
      </c>
      <c r="I546" s="110"/>
      <c r="J546" s="110"/>
      <c r="K546" s="110">
        <v>0.91425950567725978</v>
      </c>
      <c r="L546" s="110">
        <v>1.5189115987278223</v>
      </c>
      <c r="M546" s="110">
        <v>96.605550000000008</v>
      </c>
      <c r="N546" s="110">
        <v>0.82878810000000003</v>
      </c>
      <c r="O546" s="110"/>
      <c r="P546" s="110">
        <v>43.831209999999999</v>
      </c>
      <c r="Q546" s="110"/>
      <c r="R546" s="110"/>
      <c r="S546" s="110"/>
      <c r="T546" s="110"/>
    </row>
    <row r="547" spans="1:20">
      <c r="A547" s="110" t="s">
        <v>44</v>
      </c>
      <c r="B547" s="110" t="s">
        <v>65</v>
      </c>
      <c r="C547" s="110">
        <v>11430</v>
      </c>
      <c r="D547" s="110">
        <v>26.28003</v>
      </c>
      <c r="E547" s="110">
        <v>7142</v>
      </c>
      <c r="F547" s="110">
        <v>321.02</v>
      </c>
      <c r="G547" s="110">
        <v>0.83672724431104684</v>
      </c>
      <c r="H547" s="110">
        <v>1.5833051160085543</v>
      </c>
      <c r="I547" s="110"/>
      <c r="J547" s="110"/>
      <c r="K547" s="110">
        <v>0.90921095521759432</v>
      </c>
      <c r="L547" s="110">
        <v>1.5227986033818552</v>
      </c>
      <c r="M547" s="110">
        <v>93.910289999999989</v>
      </c>
      <c r="N547" s="110">
        <v>0.83463679999999996</v>
      </c>
      <c r="O547" s="110"/>
      <c r="P547" s="110">
        <v>47.845080000000003</v>
      </c>
      <c r="Q547" s="110"/>
      <c r="R547" s="110"/>
      <c r="S547" s="110"/>
      <c r="T547" s="110"/>
    </row>
    <row r="548" spans="1:20">
      <c r="A548" s="110" t="s">
        <v>44</v>
      </c>
      <c r="B548" s="110" t="s">
        <v>65</v>
      </c>
      <c r="C548" s="110">
        <v>11430</v>
      </c>
      <c r="D548" s="110">
        <v>26.28003</v>
      </c>
      <c r="E548" s="110">
        <v>7142</v>
      </c>
      <c r="F548" s="110">
        <v>321.02</v>
      </c>
      <c r="G548" s="110">
        <v>0.83672724431104684</v>
      </c>
      <c r="H548" s="110">
        <v>1.5833051160085543</v>
      </c>
      <c r="I548" s="110"/>
      <c r="J548" s="110"/>
      <c r="K548" s="110">
        <v>0.90850671218457912</v>
      </c>
      <c r="L548" s="110">
        <v>1.5247304848830256</v>
      </c>
      <c r="M548" s="110">
        <v>92.611000000000004</v>
      </c>
      <c r="N548" s="110">
        <v>0.83596429999999999</v>
      </c>
      <c r="O548" s="110"/>
      <c r="P548" s="110">
        <v>49.674480000000003</v>
      </c>
      <c r="Q548" s="110"/>
      <c r="R548" s="110"/>
      <c r="S548" s="110"/>
      <c r="T548" s="110"/>
    </row>
    <row r="549" spans="1:20">
      <c r="A549" s="110" t="s">
        <v>44</v>
      </c>
      <c r="B549" s="110" t="s">
        <v>65</v>
      </c>
      <c r="C549" s="110">
        <v>11430</v>
      </c>
      <c r="D549" s="110">
        <v>26.28003</v>
      </c>
      <c r="E549" s="110">
        <v>7142</v>
      </c>
      <c r="F549" s="110">
        <v>321.02</v>
      </c>
      <c r="G549" s="110">
        <v>0.83672724431104684</v>
      </c>
      <c r="H549" s="110">
        <v>1.5833051160085543</v>
      </c>
      <c r="I549" s="110"/>
      <c r="J549" s="110"/>
      <c r="K549" s="110">
        <v>0.9062234275049712</v>
      </c>
      <c r="L549" s="110">
        <v>1.5281874506810469</v>
      </c>
      <c r="M549" s="110">
        <v>89.479160000000007</v>
      </c>
      <c r="N549" s="110">
        <v>0.83533389999999996</v>
      </c>
      <c r="O549" s="110"/>
      <c r="P549" s="110">
        <v>53.452689999999997</v>
      </c>
      <c r="Q549" s="110"/>
      <c r="R549" s="110"/>
      <c r="S549" s="110"/>
      <c r="T549" s="110"/>
    </row>
    <row r="550" spans="1:20">
      <c r="A550" s="110" t="s">
        <v>44</v>
      </c>
      <c r="B550" s="110" t="s">
        <v>65</v>
      </c>
      <c r="C550" s="110">
        <v>11430</v>
      </c>
      <c r="D550" s="110">
        <v>26.28003</v>
      </c>
      <c r="E550" s="110">
        <v>7142</v>
      </c>
      <c r="F550" s="110">
        <v>321.02</v>
      </c>
      <c r="G550" s="110">
        <v>0.83672724431104684</v>
      </c>
      <c r="H550" s="110">
        <v>1.5833051160085543</v>
      </c>
      <c r="I550" s="110"/>
      <c r="J550" s="110"/>
      <c r="K550" s="110">
        <v>0.90573680358284681</v>
      </c>
      <c r="L550" s="110">
        <v>1.5286319674577165</v>
      </c>
      <c r="M550" s="110">
        <v>88.96499</v>
      </c>
      <c r="N550" s="110">
        <v>0.83483779999999996</v>
      </c>
      <c r="O550" s="110"/>
      <c r="P550" s="110">
        <v>54.007420000000003</v>
      </c>
      <c r="Q550" s="110"/>
      <c r="R550" s="110"/>
      <c r="S550" s="110"/>
      <c r="T550" s="110"/>
    </row>
    <row r="551" spans="1:20">
      <c r="A551" s="110" t="s">
        <v>44</v>
      </c>
      <c r="B551" s="110" t="s">
        <v>65</v>
      </c>
      <c r="C551" s="110">
        <v>11430</v>
      </c>
      <c r="D551" s="110">
        <v>26.28003</v>
      </c>
      <c r="E551" s="110">
        <v>7142</v>
      </c>
      <c r="F551" s="110">
        <v>321.02</v>
      </c>
      <c r="G551" s="110">
        <v>0.83672724431104684</v>
      </c>
      <c r="H551" s="110">
        <v>1.5833051160085543</v>
      </c>
      <c r="I551" s="110"/>
      <c r="J551" s="110"/>
      <c r="K551" s="110">
        <v>0.90499073249234641</v>
      </c>
      <c r="L551" s="110">
        <v>1.5292019324822457</v>
      </c>
      <c r="M551" s="110">
        <v>88.216239999999999</v>
      </c>
      <c r="N551" s="110">
        <v>0.83382449999999997</v>
      </c>
      <c r="O551" s="110"/>
      <c r="P551" s="110">
        <v>54.761780000000002</v>
      </c>
      <c r="Q551" s="110"/>
      <c r="R551" s="110"/>
      <c r="S551" s="110"/>
      <c r="T551" s="110"/>
    </row>
    <row r="552" spans="1:20">
      <c r="A552" s="110" t="s">
        <v>44</v>
      </c>
      <c r="B552" s="110" t="s">
        <v>65</v>
      </c>
      <c r="C552" s="110">
        <v>11430</v>
      </c>
      <c r="D552" s="110">
        <v>26.28003</v>
      </c>
      <c r="E552" s="110">
        <v>7142</v>
      </c>
      <c r="F552" s="110">
        <v>321.02</v>
      </c>
      <c r="G552" s="110">
        <v>0.83672724431104684</v>
      </c>
      <c r="H552" s="110">
        <v>1.5833051160085543</v>
      </c>
      <c r="I552" s="110"/>
      <c r="J552" s="110"/>
      <c r="K552" s="110">
        <v>0.90202542235671179</v>
      </c>
      <c r="L552" s="110">
        <v>1.5307416335599289</v>
      </c>
      <c r="M552" s="110">
        <v>85.685020000000009</v>
      </c>
      <c r="N552" s="110">
        <v>0.82871709999999998</v>
      </c>
      <c r="O552" s="110"/>
      <c r="P552" s="110">
        <v>57.057940000000002</v>
      </c>
      <c r="Q552" s="110"/>
      <c r="R552" s="110"/>
      <c r="S552" s="110"/>
      <c r="T552" s="110"/>
    </row>
    <row r="553" spans="1:20">
      <c r="A553" s="110" t="s">
        <v>44</v>
      </c>
      <c r="B553" s="110" t="s">
        <v>65</v>
      </c>
      <c r="C553" s="110">
        <v>11430</v>
      </c>
      <c r="D553" s="110">
        <v>26.28003</v>
      </c>
      <c r="E553" s="110">
        <v>7142</v>
      </c>
      <c r="F553" s="110">
        <v>321.02</v>
      </c>
      <c r="G553" s="110">
        <v>0.83672724431104684</v>
      </c>
      <c r="H553" s="110">
        <v>1.5833051160085543</v>
      </c>
      <c r="I553" s="110"/>
      <c r="J553" s="110"/>
      <c r="K553" s="110">
        <v>0.89531235929560704</v>
      </c>
      <c r="L553" s="110">
        <v>1.5275580609248118</v>
      </c>
      <c r="M553" s="110">
        <v>81.252660000000006</v>
      </c>
      <c r="N553" s="110">
        <v>0.81558850000000005</v>
      </c>
      <c r="O553" s="110"/>
      <c r="P553" s="110">
        <v>60.518650000000001</v>
      </c>
      <c r="Q553" s="110"/>
      <c r="R553" s="110"/>
      <c r="S553" s="110"/>
      <c r="T553" s="110"/>
    </row>
    <row r="554" spans="1:20">
      <c r="A554" s="110" t="s">
        <v>44</v>
      </c>
      <c r="B554" s="110" t="s">
        <v>65</v>
      </c>
      <c r="C554" s="110">
        <v>11430</v>
      </c>
      <c r="D554" s="110">
        <v>26.28003</v>
      </c>
      <c r="E554" s="110">
        <v>7142</v>
      </c>
      <c r="F554" s="110">
        <v>321.02</v>
      </c>
      <c r="G554" s="110">
        <v>0.83672724431104684</v>
      </c>
      <c r="H554" s="110">
        <v>1.5833051160085543</v>
      </c>
      <c r="I554" s="110"/>
      <c r="J554" s="110"/>
      <c r="K554" s="110">
        <v>0.89547683720063553</v>
      </c>
      <c r="L554" s="110">
        <v>1.5287996682473868</v>
      </c>
      <c r="M554" s="110">
        <v>79.485119999999995</v>
      </c>
      <c r="N554" s="110">
        <v>0.80892770000000003</v>
      </c>
      <c r="O554" s="110"/>
      <c r="P554" s="110">
        <v>61.710250000000002</v>
      </c>
      <c r="Q554" s="110"/>
      <c r="R554" s="110"/>
      <c r="S554" s="110"/>
      <c r="T554" s="110"/>
    </row>
    <row r="555" spans="1:20">
      <c r="A555" s="110" t="s">
        <v>44</v>
      </c>
      <c r="B555" s="110" t="s">
        <v>65</v>
      </c>
      <c r="C555" s="110">
        <v>11430</v>
      </c>
      <c r="D555" s="110">
        <v>26.28003</v>
      </c>
      <c r="E555" s="110">
        <v>7142</v>
      </c>
      <c r="F555" s="110">
        <v>321.02</v>
      </c>
      <c r="G555" s="110">
        <v>0.83672724431104684</v>
      </c>
      <c r="H555" s="110">
        <v>1.5833051160085543</v>
      </c>
      <c r="I555" s="110"/>
      <c r="J555" s="110"/>
      <c r="K555" s="110">
        <v>0.89528924382404307</v>
      </c>
      <c r="L555" s="110">
        <v>1.5296133244382648</v>
      </c>
      <c r="M555" s="110">
        <v>78.128460000000004</v>
      </c>
      <c r="N555" s="110">
        <v>0.8031973</v>
      </c>
      <c r="O555" s="110"/>
      <c r="P555" s="110">
        <v>62.550890000000003</v>
      </c>
      <c r="Q555" s="110"/>
      <c r="R555" s="110"/>
      <c r="S555" s="110"/>
      <c r="T555" s="110"/>
    </row>
    <row r="556" spans="1:20">
      <c r="A556" s="110" t="s">
        <v>44</v>
      </c>
      <c r="B556" s="110" t="s">
        <v>65</v>
      </c>
      <c r="C556" s="110">
        <v>11430</v>
      </c>
      <c r="D556" s="110">
        <v>26.28003</v>
      </c>
      <c r="E556" s="110">
        <v>7142</v>
      </c>
      <c r="F556" s="110">
        <v>321.02</v>
      </c>
      <c r="G556" s="110">
        <v>0.83672724431104684</v>
      </c>
      <c r="H556" s="110">
        <v>1.5833051160085543</v>
      </c>
      <c r="I556" s="110"/>
      <c r="J556" s="110"/>
      <c r="K556" s="110">
        <v>0.8911277043876028</v>
      </c>
      <c r="L556" s="110">
        <v>1.5315727496591127</v>
      </c>
      <c r="M556" s="110">
        <v>72.154690000000002</v>
      </c>
      <c r="N556" s="110">
        <v>0.77130730000000003</v>
      </c>
      <c r="O556" s="110"/>
      <c r="P556" s="110">
        <v>65.516490000000005</v>
      </c>
      <c r="Q556" s="110"/>
      <c r="R556" s="110"/>
      <c r="S556" s="110"/>
      <c r="T556" s="110"/>
    </row>
    <row r="557" spans="1:20">
      <c r="A557" s="110" t="s">
        <v>44</v>
      </c>
      <c r="B557" s="110" t="s">
        <v>65</v>
      </c>
      <c r="C557" s="110">
        <v>11430</v>
      </c>
      <c r="D557" s="110">
        <v>26.28003</v>
      </c>
      <c r="E557" s="110">
        <v>7142</v>
      </c>
      <c r="F557" s="110">
        <v>321.02</v>
      </c>
      <c r="G557" s="110">
        <v>0.83672724431104684</v>
      </c>
      <c r="H557" s="110">
        <v>1.5833051160085543</v>
      </c>
      <c r="I557" s="110"/>
      <c r="J557" s="110"/>
      <c r="K557" s="110">
        <v>0.88752858102404941</v>
      </c>
      <c r="L557" s="110">
        <v>1.5208688949370919</v>
      </c>
      <c r="M557" s="110">
        <v>69.353759999999994</v>
      </c>
      <c r="N557" s="110">
        <v>0.75360240000000001</v>
      </c>
      <c r="O557" s="110"/>
      <c r="P557" s="110">
        <v>66.602069999999998</v>
      </c>
      <c r="Q557" s="110"/>
      <c r="R557" s="110"/>
      <c r="S557" s="110"/>
      <c r="T557" s="110"/>
    </row>
    <row r="558" spans="1:20">
      <c r="A558" s="110" t="s">
        <v>44</v>
      </c>
      <c r="B558" s="110" t="s">
        <v>65</v>
      </c>
      <c r="C558" s="110">
        <v>11430</v>
      </c>
      <c r="D558" s="110">
        <v>26.28003</v>
      </c>
      <c r="E558" s="110">
        <v>7142</v>
      </c>
      <c r="F558" s="110">
        <v>321.02</v>
      </c>
      <c r="G558" s="110">
        <v>0.83672724431104684</v>
      </c>
      <c r="H558" s="110">
        <v>1.5833051160085543</v>
      </c>
      <c r="I558" s="110"/>
      <c r="J558" s="110"/>
      <c r="K558" s="110">
        <v>0.88837501879972902</v>
      </c>
      <c r="L558" s="110">
        <v>1.5224641359098368</v>
      </c>
      <c r="M558" s="110">
        <v>63.663530000000002</v>
      </c>
      <c r="N558" s="110">
        <v>0.71298899999999998</v>
      </c>
      <c r="O558" s="110"/>
      <c r="P558" s="110">
        <v>68.383740000000003</v>
      </c>
      <c r="Q558" s="110"/>
      <c r="R558" s="110"/>
      <c r="S558" s="110"/>
      <c r="T558" s="110"/>
    </row>
    <row r="559" spans="1:20">
      <c r="A559" s="110" t="s">
        <v>44</v>
      </c>
      <c r="B559" s="110" t="s">
        <v>65</v>
      </c>
      <c r="C559" s="110">
        <v>11430</v>
      </c>
      <c r="D559" s="110">
        <v>26.28003</v>
      </c>
      <c r="E559" s="110">
        <v>7142</v>
      </c>
      <c r="F559" s="110">
        <v>321.02</v>
      </c>
      <c r="G559" s="110">
        <v>0.83672724431104684</v>
      </c>
      <c r="H559" s="110">
        <v>1.5833051160085543</v>
      </c>
      <c r="I559" s="110"/>
      <c r="J559" s="110"/>
      <c r="K559" s="110">
        <v>0.8867519120067443</v>
      </c>
      <c r="L559" s="110">
        <v>1.5230810943679787</v>
      </c>
      <c r="M559" s="110">
        <v>60.815769999999993</v>
      </c>
      <c r="N559" s="110">
        <v>0.69071910000000003</v>
      </c>
      <c r="O559" s="110"/>
      <c r="P559" s="110">
        <v>69.143349999999998</v>
      </c>
      <c r="Q559" s="110"/>
      <c r="R559" s="110"/>
      <c r="S559" s="110"/>
      <c r="T559" s="110"/>
    </row>
    <row r="560" spans="1:20">
      <c r="A560" s="110" t="s">
        <v>44</v>
      </c>
      <c r="B560" s="110" t="s">
        <v>65</v>
      </c>
      <c r="C560" s="110">
        <v>11430</v>
      </c>
      <c r="D560" s="110">
        <v>26.28003</v>
      </c>
      <c r="E560" s="110">
        <v>7142</v>
      </c>
      <c r="F560" s="110">
        <v>321.02</v>
      </c>
      <c r="G560" s="110">
        <v>0.83672724431104684</v>
      </c>
      <c r="H560" s="110">
        <v>1.5833051160085543</v>
      </c>
      <c r="I560" s="110"/>
      <c r="J560" s="110"/>
      <c r="K560" s="110">
        <v>0.88570747162595753</v>
      </c>
      <c r="L560" s="110">
        <v>1.512296455491728</v>
      </c>
      <c r="M560" s="110">
        <v>54.778970000000001</v>
      </c>
      <c r="N560" s="110">
        <v>0.63971480000000003</v>
      </c>
      <c r="O560" s="110"/>
      <c r="P560" s="110">
        <v>70.510120000000001</v>
      </c>
      <c r="Q560" s="110"/>
      <c r="R560" s="110"/>
      <c r="S560" s="110"/>
      <c r="T560" s="110"/>
    </row>
    <row r="561" spans="1:20">
      <c r="A561" s="110" t="s">
        <v>44</v>
      </c>
      <c r="B561" s="110" t="s">
        <v>65</v>
      </c>
      <c r="C561" s="110">
        <v>11430</v>
      </c>
      <c r="D561" s="110">
        <v>26.28003</v>
      </c>
      <c r="E561" s="110">
        <v>7142</v>
      </c>
      <c r="F561" s="110">
        <v>321.02</v>
      </c>
      <c r="G561" s="110">
        <v>0.83672724431104684</v>
      </c>
      <c r="H561" s="110">
        <v>1.5833051160085543</v>
      </c>
      <c r="I561" s="110"/>
      <c r="J561" s="110"/>
      <c r="K561" s="110">
        <v>0.88578410969353238</v>
      </c>
      <c r="L561" s="110">
        <v>1.5135272648143689</v>
      </c>
      <c r="M561" s="110">
        <v>51.413760000000003</v>
      </c>
      <c r="N561" s="110">
        <v>0.60910580000000003</v>
      </c>
      <c r="O561" s="110"/>
      <c r="P561" s="110">
        <v>71.152649999999994</v>
      </c>
      <c r="Q561" s="110"/>
      <c r="R561" s="110"/>
      <c r="S561" s="110"/>
      <c r="T561" s="110"/>
    </row>
    <row r="562" spans="1:20">
      <c r="A562" s="110" t="s">
        <v>44</v>
      </c>
      <c r="B562" s="110" t="s">
        <v>65</v>
      </c>
      <c r="C562" s="110">
        <v>11430</v>
      </c>
      <c r="D562" s="110">
        <v>26.28003</v>
      </c>
      <c r="E562" s="110">
        <v>7142</v>
      </c>
      <c r="F562" s="110">
        <v>321.02</v>
      </c>
      <c r="G562" s="110">
        <v>0.83672724431104684</v>
      </c>
      <c r="H562" s="110">
        <v>1.5833051160085543</v>
      </c>
      <c r="I562" s="110"/>
      <c r="J562" s="110"/>
      <c r="K562" s="110">
        <v>0.88426326217750395</v>
      </c>
      <c r="L562" s="110">
        <v>1.4968225175096903</v>
      </c>
      <c r="M562" s="110">
        <v>44.563940000000002</v>
      </c>
      <c r="N562" s="110">
        <v>0.5427845</v>
      </c>
      <c r="O562" s="110"/>
      <c r="P562" s="110">
        <v>72.225170000000006</v>
      </c>
      <c r="Q562" s="110"/>
      <c r="R562" s="110"/>
      <c r="S562" s="110"/>
      <c r="T562" s="110"/>
    </row>
    <row r="563" spans="1:20">
      <c r="A563" s="110" t="s">
        <v>44</v>
      </c>
      <c r="B563" s="110" t="s">
        <v>65</v>
      </c>
      <c r="C563" s="110">
        <v>10795</v>
      </c>
      <c r="D563" s="110">
        <v>26.28003</v>
      </c>
      <c r="E563" s="110">
        <v>7142</v>
      </c>
      <c r="F563" s="110">
        <v>321.02</v>
      </c>
      <c r="G563" s="110">
        <v>0.83672724431104684</v>
      </c>
      <c r="H563" s="110">
        <v>1.5833051160085543</v>
      </c>
      <c r="I563" s="110"/>
      <c r="J563" s="110"/>
      <c r="K563" s="110">
        <v>0.90811694308404534</v>
      </c>
      <c r="L563" s="110">
        <v>1.5209882831670347</v>
      </c>
      <c r="M563" s="110">
        <v>88.655369999999991</v>
      </c>
      <c r="N563" s="110">
        <v>0.8169535</v>
      </c>
      <c r="O563" s="110"/>
      <c r="P563" s="110">
        <v>34.662660000000002</v>
      </c>
      <c r="Q563" s="110"/>
      <c r="R563" s="110"/>
      <c r="S563" s="110"/>
      <c r="T563" s="110"/>
    </row>
    <row r="564" spans="1:20">
      <c r="A564" s="110" t="s">
        <v>44</v>
      </c>
      <c r="B564" s="110" t="s">
        <v>65</v>
      </c>
      <c r="C564" s="110">
        <v>10795</v>
      </c>
      <c r="D564" s="110">
        <v>26.28003</v>
      </c>
      <c r="E564" s="110">
        <v>7142</v>
      </c>
      <c r="F564" s="110">
        <v>321.02</v>
      </c>
      <c r="G564" s="110">
        <v>0.83672724431104684</v>
      </c>
      <c r="H564" s="110">
        <v>1.5833051160085543</v>
      </c>
      <c r="I564" s="110"/>
      <c r="J564" s="110"/>
      <c r="K564" s="110">
        <v>0.90781923962810751</v>
      </c>
      <c r="L564" s="110">
        <v>1.5215153993053914</v>
      </c>
      <c r="M564" s="110">
        <v>88.493850000000009</v>
      </c>
      <c r="N564" s="110">
        <v>0.81802589999999997</v>
      </c>
      <c r="O564" s="110"/>
      <c r="P564" s="110">
        <v>35.062199999999997</v>
      </c>
      <c r="Q564" s="110"/>
      <c r="R564" s="110"/>
      <c r="S564" s="110"/>
      <c r="T564" s="110"/>
    </row>
    <row r="565" spans="1:20">
      <c r="A565" s="110" t="s">
        <v>44</v>
      </c>
      <c r="B565" s="110" t="s">
        <v>65</v>
      </c>
      <c r="C565" s="110">
        <v>10795</v>
      </c>
      <c r="D565" s="110">
        <v>26.28003</v>
      </c>
      <c r="E565" s="110">
        <v>7142</v>
      </c>
      <c r="F565" s="110">
        <v>321.02</v>
      </c>
      <c r="G565" s="110">
        <v>0.83672724431104684</v>
      </c>
      <c r="H565" s="110">
        <v>1.5833051160085543</v>
      </c>
      <c r="I565" s="110"/>
      <c r="J565" s="110"/>
      <c r="K565" s="110">
        <v>0.90731206778623597</v>
      </c>
      <c r="L565" s="110">
        <v>1.5223137699688947</v>
      </c>
      <c r="M565" s="110">
        <v>88.229460000000003</v>
      </c>
      <c r="N565" s="110">
        <v>0.81967009999999996</v>
      </c>
      <c r="O565" s="110"/>
      <c r="P565" s="110">
        <v>35.692570000000003</v>
      </c>
      <c r="Q565" s="110"/>
      <c r="R565" s="110"/>
      <c r="S565" s="110"/>
      <c r="T565" s="110"/>
    </row>
    <row r="566" spans="1:20">
      <c r="A566" s="110" t="s">
        <v>44</v>
      </c>
      <c r="B566" s="110" t="s">
        <v>65</v>
      </c>
      <c r="C566" s="110">
        <v>10795</v>
      </c>
      <c r="D566" s="110">
        <v>26.28003</v>
      </c>
      <c r="E566" s="110">
        <v>7142</v>
      </c>
      <c r="F566" s="110">
        <v>321.02</v>
      </c>
      <c r="G566" s="110">
        <v>0.83672724431104684</v>
      </c>
      <c r="H566" s="110">
        <v>1.5833051160085543</v>
      </c>
      <c r="I566" s="110"/>
      <c r="J566" s="110"/>
      <c r="K566" s="110">
        <v>0.90515635398800676</v>
      </c>
      <c r="L566" s="110">
        <v>1.5253599181091788</v>
      </c>
      <c r="M566" s="110">
        <v>87.066720000000004</v>
      </c>
      <c r="N566" s="110">
        <v>0.82552009999999998</v>
      </c>
      <c r="O566" s="110"/>
      <c r="P566" s="110">
        <v>38.158549999999998</v>
      </c>
      <c r="Q566" s="110"/>
      <c r="R566" s="110"/>
      <c r="S566" s="110"/>
      <c r="T566" s="110"/>
    </row>
    <row r="567" spans="1:20">
      <c r="A567" s="110" t="s">
        <v>44</v>
      </c>
      <c r="B567" s="110" t="s">
        <v>65</v>
      </c>
      <c r="C567" s="110">
        <v>10795</v>
      </c>
      <c r="D567" s="110">
        <v>26.28003</v>
      </c>
      <c r="E567" s="110">
        <v>7142</v>
      </c>
      <c r="F567" s="110">
        <v>321.02</v>
      </c>
      <c r="G567" s="110">
        <v>0.83672724431104684</v>
      </c>
      <c r="H567" s="110">
        <v>1.5833051160085543</v>
      </c>
      <c r="I567" s="110"/>
      <c r="J567" s="110"/>
      <c r="K567" s="110">
        <v>0.90129183421623837</v>
      </c>
      <c r="L567" s="110">
        <v>1.5297265347931988</v>
      </c>
      <c r="M567" s="110">
        <v>84.964579999999998</v>
      </c>
      <c r="N567" s="110">
        <v>0.83264079999999996</v>
      </c>
      <c r="O567" s="110"/>
      <c r="P567" s="110">
        <v>41.804000000000002</v>
      </c>
      <c r="Q567" s="110"/>
      <c r="R567" s="110"/>
      <c r="S567" s="110"/>
      <c r="T567" s="110"/>
    </row>
    <row r="568" spans="1:20">
      <c r="A568" s="110" t="s">
        <v>44</v>
      </c>
      <c r="B568" s="110" t="s">
        <v>65</v>
      </c>
      <c r="C568" s="110">
        <v>10795</v>
      </c>
      <c r="D568" s="110">
        <v>26.28003</v>
      </c>
      <c r="E568" s="110">
        <v>7142</v>
      </c>
      <c r="F568" s="110">
        <v>321.02</v>
      </c>
      <c r="G568" s="110">
        <v>0.83672724431104684</v>
      </c>
      <c r="H568" s="110">
        <v>1.5833051160085543</v>
      </c>
      <c r="I568" s="110"/>
      <c r="J568" s="110"/>
      <c r="K568" s="110">
        <v>0.89511886069564339</v>
      </c>
      <c r="L568" s="110">
        <v>1.5346273638732457</v>
      </c>
      <c r="M568" s="110">
        <v>81.79025</v>
      </c>
      <c r="N568" s="110">
        <v>0.83666879999999999</v>
      </c>
      <c r="O568" s="110"/>
      <c r="P568" s="110">
        <v>46.31127</v>
      </c>
      <c r="Q568" s="110"/>
      <c r="R568" s="110"/>
      <c r="S568" s="110"/>
      <c r="T568" s="110"/>
    </row>
    <row r="569" spans="1:20">
      <c r="A569" s="110" t="s">
        <v>44</v>
      </c>
      <c r="B569" s="110" t="s">
        <v>65</v>
      </c>
      <c r="C569" s="110">
        <v>10795</v>
      </c>
      <c r="D569" s="110">
        <v>26.28003</v>
      </c>
      <c r="E569" s="110">
        <v>7142</v>
      </c>
      <c r="F569" s="110">
        <v>321.02</v>
      </c>
      <c r="G569" s="110">
        <v>0.83672724431104684</v>
      </c>
      <c r="H569" s="110">
        <v>1.5833051160085543</v>
      </c>
      <c r="I569" s="110"/>
      <c r="J569" s="110"/>
      <c r="K569" s="110">
        <v>0.8936901505098237</v>
      </c>
      <c r="L569" s="110">
        <v>1.533812729508216</v>
      </c>
      <c r="M569" s="110">
        <v>78.6631</v>
      </c>
      <c r="N569" s="110">
        <v>0.83410660000000003</v>
      </c>
      <c r="O569" s="110"/>
      <c r="P569" s="110">
        <v>49.898940000000003</v>
      </c>
      <c r="Q569" s="110"/>
      <c r="R569" s="110"/>
      <c r="S569" s="110"/>
      <c r="T569" s="110"/>
    </row>
    <row r="570" spans="1:20">
      <c r="A570" s="110" t="s">
        <v>44</v>
      </c>
      <c r="B570" s="110" t="s">
        <v>65</v>
      </c>
      <c r="C570" s="110">
        <v>10795</v>
      </c>
      <c r="D570" s="110">
        <v>26.28003</v>
      </c>
      <c r="E570" s="110">
        <v>7142</v>
      </c>
      <c r="F570" s="110">
        <v>321.02</v>
      </c>
      <c r="G570" s="110">
        <v>0.83672724431104684</v>
      </c>
      <c r="H570" s="110">
        <v>1.5833051160085543</v>
      </c>
      <c r="I570" s="110"/>
      <c r="J570" s="110"/>
      <c r="K570" s="110">
        <v>0.8915979570289011</v>
      </c>
      <c r="L570" s="110">
        <v>1.5371265559496576</v>
      </c>
      <c r="M570" s="110">
        <v>75.383409999999998</v>
      </c>
      <c r="N570" s="110">
        <v>0.8263083</v>
      </c>
      <c r="O570" s="110"/>
      <c r="P570" s="110">
        <v>52.970979999999997</v>
      </c>
      <c r="Q570" s="110"/>
      <c r="R570" s="110"/>
      <c r="S570" s="110"/>
      <c r="T570" s="110"/>
    </row>
    <row r="571" spans="1:20">
      <c r="A571" s="110" t="s">
        <v>44</v>
      </c>
      <c r="B571" s="110" t="s">
        <v>65</v>
      </c>
      <c r="C571" s="110">
        <v>10795</v>
      </c>
      <c r="D571" s="110">
        <v>26.28003</v>
      </c>
      <c r="E571" s="110">
        <v>7142</v>
      </c>
      <c r="F571" s="110">
        <v>321.02</v>
      </c>
      <c r="G571" s="110">
        <v>0.83672724431104684</v>
      </c>
      <c r="H571" s="110">
        <v>1.5833051160085543</v>
      </c>
      <c r="I571" s="110"/>
      <c r="J571" s="110"/>
      <c r="K571" s="110">
        <v>0.88427385627078769</v>
      </c>
      <c r="L571" s="110">
        <v>1.5315165190150144</v>
      </c>
      <c r="M571" s="110">
        <v>67.995170000000002</v>
      </c>
      <c r="N571" s="110">
        <v>0.79447639999999997</v>
      </c>
      <c r="O571" s="110"/>
      <c r="P571" s="110">
        <v>58.183169999999997</v>
      </c>
      <c r="Q571" s="110"/>
      <c r="R571" s="110"/>
      <c r="S571" s="110"/>
      <c r="T571" s="110"/>
    </row>
    <row r="572" spans="1:20">
      <c r="A572" s="110" t="s">
        <v>44</v>
      </c>
      <c r="B572" s="110" t="s">
        <v>65</v>
      </c>
      <c r="C572" s="110">
        <v>10795</v>
      </c>
      <c r="D572" s="110">
        <v>26.28003</v>
      </c>
      <c r="E572" s="110">
        <v>7142</v>
      </c>
      <c r="F572" s="110">
        <v>321.02</v>
      </c>
      <c r="G572" s="110">
        <v>0.83672724431104684</v>
      </c>
      <c r="H572" s="110">
        <v>1.5833051160085543</v>
      </c>
      <c r="I572" s="110"/>
      <c r="J572" s="110"/>
      <c r="K572" s="110">
        <v>0.88393770686633866</v>
      </c>
      <c r="L572" s="110">
        <v>1.5345521554317425</v>
      </c>
      <c r="M572" s="110">
        <v>62.998539999999998</v>
      </c>
      <c r="N572" s="110">
        <v>0.76223920000000001</v>
      </c>
      <c r="O572" s="110"/>
      <c r="P572" s="110">
        <v>60.596550000000001</v>
      </c>
      <c r="Q572" s="110"/>
      <c r="R572" s="110"/>
      <c r="S572" s="110"/>
      <c r="T572" s="110"/>
    </row>
    <row r="573" spans="1:20">
      <c r="A573" s="110" t="s">
        <v>44</v>
      </c>
      <c r="B573" s="110" t="s">
        <v>65</v>
      </c>
      <c r="C573" s="110">
        <v>10795</v>
      </c>
      <c r="D573" s="110">
        <v>26.28003</v>
      </c>
      <c r="E573" s="110">
        <v>7142</v>
      </c>
      <c r="F573" s="110">
        <v>321.02</v>
      </c>
      <c r="G573" s="110">
        <v>0.83672724431104684</v>
      </c>
      <c r="H573" s="110">
        <v>1.5833051160085543</v>
      </c>
      <c r="I573" s="110"/>
      <c r="J573" s="110"/>
      <c r="K573" s="110">
        <v>0.88294738438384035</v>
      </c>
      <c r="L573" s="110">
        <v>1.5353325179914139</v>
      </c>
      <c r="M573" s="110">
        <v>61.397359999999999</v>
      </c>
      <c r="N573" s="110">
        <v>0.75052640000000004</v>
      </c>
      <c r="O573" s="110"/>
      <c r="P573" s="110">
        <v>61.255760000000002</v>
      </c>
      <c r="Q573" s="110"/>
      <c r="R573" s="110"/>
      <c r="S573" s="110"/>
      <c r="T573" s="110"/>
    </row>
    <row r="574" spans="1:20">
      <c r="A574" s="110" t="s">
        <v>44</v>
      </c>
      <c r="B574" s="110" t="s">
        <v>65</v>
      </c>
      <c r="C574" s="110">
        <v>10795</v>
      </c>
      <c r="D574" s="110">
        <v>26.28003</v>
      </c>
      <c r="E574" s="110">
        <v>7142</v>
      </c>
      <c r="F574" s="110">
        <v>321.02</v>
      </c>
      <c r="G574" s="110">
        <v>0.83672724431104684</v>
      </c>
      <c r="H574" s="110">
        <v>1.5833051160085543</v>
      </c>
      <c r="I574" s="110"/>
      <c r="J574" s="110"/>
      <c r="K574" s="110">
        <v>0.8825884943549096</v>
      </c>
      <c r="L574" s="110">
        <v>1.5355043513359852</v>
      </c>
      <c r="M574" s="110">
        <v>60.96255</v>
      </c>
      <c r="N574" s="110">
        <v>0.74723200000000001</v>
      </c>
      <c r="O574" s="110"/>
      <c r="P574" s="110">
        <v>61.426349999999999</v>
      </c>
      <c r="Q574" s="110"/>
      <c r="R574" s="110"/>
      <c r="S574" s="110"/>
      <c r="T574" s="110"/>
    </row>
    <row r="575" spans="1:20">
      <c r="A575" s="110" t="s">
        <v>44</v>
      </c>
      <c r="B575" s="110" t="s">
        <v>65</v>
      </c>
      <c r="C575" s="110">
        <v>10795</v>
      </c>
      <c r="D575" s="110">
        <v>26.28003</v>
      </c>
      <c r="E575" s="110">
        <v>7142</v>
      </c>
      <c r="F575" s="110">
        <v>321.02</v>
      </c>
      <c r="G575" s="110">
        <v>0.83672724431104684</v>
      </c>
      <c r="H575" s="110">
        <v>1.5833051160085543</v>
      </c>
      <c r="I575" s="110"/>
      <c r="J575" s="110"/>
      <c r="K575" s="110">
        <v>0.87996606755965301</v>
      </c>
      <c r="L575" s="110">
        <v>1.5207783723196489</v>
      </c>
      <c r="M575" s="110">
        <v>56.150550000000003</v>
      </c>
      <c r="N575" s="110">
        <v>0.70794789999999996</v>
      </c>
      <c r="O575" s="110"/>
      <c r="P575" s="110">
        <v>63.101349999999996</v>
      </c>
      <c r="Q575" s="110"/>
      <c r="R575" s="110"/>
      <c r="S575" s="110"/>
      <c r="T575" s="110"/>
    </row>
    <row r="576" spans="1:20">
      <c r="A576" s="110" t="s">
        <v>44</v>
      </c>
      <c r="B576" s="110" t="s">
        <v>65</v>
      </c>
      <c r="C576" s="110">
        <v>10795</v>
      </c>
      <c r="D576" s="110">
        <v>26.28003</v>
      </c>
      <c r="E576" s="110">
        <v>7142</v>
      </c>
      <c r="F576" s="110">
        <v>321.02</v>
      </c>
      <c r="G576" s="110">
        <v>0.83672724431104684</v>
      </c>
      <c r="H576" s="110">
        <v>1.5833051160085543</v>
      </c>
      <c r="I576" s="110"/>
      <c r="J576" s="110"/>
      <c r="K576" s="110">
        <v>0.88085703282685079</v>
      </c>
      <c r="L576" s="110">
        <v>1.5218634856072697</v>
      </c>
      <c r="M576" s="110">
        <v>53.606850000000001</v>
      </c>
      <c r="N576" s="110">
        <v>0.68563940000000001</v>
      </c>
      <c r="O576" s="110"/>
      <c r="P576" s="110">
        <v>63.879309999999997</v>
      </c>
      <c r="Q576" s="110"/>
      <c r="R576" s="110"/>
      <c r="S576" s="110"/>
      <c r="T576" s="110"/>
    </row>
    <row r="577" spans="1:20">
      <c r="A577" s="110" t="s">
        <v>44</v>
      </c>
      <c r="B577" s="110" t="s">
        <v>65</v>
      </c>
      <c r="C577" s="110">
        <v>10795</v>
      </c>
      <c r="D577" s="110">
        <v>26.28003</v>
      </c>
      <c r="E577" s="110">
        <v>7142</v>
      </c>
      <c r="F577" s="110">
        <v>321.02</v>
      </c>
      <c r="G577" s="110">
        <v>0.83672724431104684</v>
      </c>
      <c r="H577" s="110">
        <v>1.5833051160085543</v>
      </c>
      <c r="I577" s="110"/>
      <c r="J577" s="110"/>
      <c r="K577" s="110">
        <v>0.87850149721146598</v>
      </c>
      <c r="L577" s="110">
        <v>1.5284079272874536</v>
      </c>
      <c r="M577" s="110">
        <v>47.633969999999998</v>
      </c>
      <c r="N577" s="110">
        <v>0.62834950000000001</v>
      </c>
      <c r="O577" s="110"/>
      <c r="P577" s="110">
        <v>65.346130000000002</v>
      </c>
      <c r="Q577" s="110"/>
      <c r="R577" s="110"/>
      <c r="S577" s="110"/>
      <c r="T577" s="110"/>
    </row>
    <row r="578" spans="1:20">
      <c r="A578" s="110" t="s">
        <v>44</v>
      </c>
      <c r="B578" s="110" t="s">
        <v>65</v>
      </c>
      <c r="C578" s="110">
        <v>10795</v>
      </c>
      <c r="D578" s="110">
        <v>26.28003</v>
      </c>
      <c r="E578" s="110">
        <v>7142</v>
      </c>
      <c r="F578" s="110">
        <v>321.02</v>
      </c>
      <c r="G578" s="110">
        <v>0.83672724431104684</v>
      </c>
      <c r="H578" s="110">
        <v>1.5833051160085543</v>
      </c>
      <c r="I578" s="110"/>
      <c r="J578" s="110"/>
      <c r="K578" s="110">
        <v>0.87866455528412213</v>
      </c>
      <c r="L578" s="110">
        <v>1.5100529725525846</v>
      </c>
      <c r="M578" s="110">
        <v>44.856000000000002</v>
      </c>
      <c r="N578" s="110">
        <v>0.59962210000000005</v>
      </c>
      <c r="O578" s="110"/>
      <c r="P578" s="110">
        <v>65.899959999999993</v>
      </c>
      <c r="Q578" s="110"/>
      <c r="R578" s="110"/>
      <c r="S578" s="110"/>
      <c r="T578" s="110"/>
    </row>
    <row r="579" spans="1:20">
      <c r="A579" s="110" t="s">
        <v>44</v>
      </c>
      <c r="B579" s="110" t="s">
        <v>65</v>
      </c>
      <c r="C579" s="110">
        <v>10795</v>
      </c>
      <c r="D579" s="110">
        <v>26.28003</v>
      </c>
      <c r="E579" s="110">
        <v>7142</v>
      </c>
      <c r="F579" s="110">
        <v>321.02</v>
      </c>
      <c r="G579" s="110">
        <v>0.83672724431104684</v>
      </c>
      <c r="H579" s="110">
        <v>1.5833051160085543</v>
      </c>
      <c r="I579" s="110"/>
      <c r="J579" s="110"/>
      <c r="K579" s="110">
        <v>0.88030228985414005</v>
      </c>
      <c r="L579" s="110">
        <v>1.5129757284358509</v>
      </c>
      <c r="M579" s="110">
        <v>39.306800000000003</v>
      </c>
      <c r="N579" s="110">
        <v>0.5389794</v>
      </c>
      <c r="O579" s="110"/>
      <c r="P579" s="110">
        <v>66.863200000000006</v>
      </c>
      <c r="Q579" s="110"/>
      <c r="R579" s="110"/>
      <c r="S579" s="110"/>
      <c r="T579" s="110"/>
    </row>
    <row r="580" spans="1:20">
      <c r="A580" s="110" t="s">
        <v>44</v>
      </c>
      <c r="B580" s="110" t="s">
        <v>65</v>
      </c>
      <c r="C580" s="110">
        <v>10795</v>
      </c>
      <c r="D580" s="110">
        <v>26.28003</v>
      </c>
      <c r="E580" s="110">
        <v>7142</v>
      </c>
      <c r="F580" s="110">
        <v>321.02</v>
      </c>
      <c r="G580" s="110">
        <v>0.83672724431104684</v>
      </c>
      <c r="H580" s="110">
        <v>1.5833051160085543</v>
      </c>
      <c r="I580" s="110"/>
      <c r="J580" s="110"/>
      <c r="K580" s="110">
        <v>0.87968145436964051</v>
      </c>
      <c r="L580" s="110">
        <v>1.5138399959773292</v>
      </c>
      <c r="M580" s="110">
        <v>37.748949999999994</v>
      </c>
      <c r="N580" s="110">
        <v>0.52119409999999999</v>
      </c>
      <c r="O580" s="110"/>
      <c r="P580" s="110">
        <v>67.107500000000002</v>
      </c>
      <c r="Q580" s="110"/>
      <c r="R580" s="110"/>
      <c r="S580" s="110"/>
      <c r="T580" s="110"/>
    </row>
    <row r="581" spans="1:20">
      <c r="A581" s="110" t="s">
        <v>44</v>
      </c>
      <c r="B581" s="110" t="s">
        <v>65</v>
      </c>
      <c r="C581" s="110">
        <v>10160</v>
      </c>
      <c r="D581" s="110">
        <v>26.28003</v>
      </c>
      <c r="E581" s="110">
        <v>7142</v>
      </c>
      <c r="F581" s="110">
        <v>321.02</v>
      </c>
      <c r="G581" s="110">
        <v>0.83672724431104684</v>
      </c>
      <c r="H581" s="110">
        <v>1.5833051160085543</v>
      </c>
      <c r="I581" s="110"/>
      <c r="J581" s="110"/>
      <c r="K581" s="110">
        <v>0.896148564947438</v>
      </c>
      <c r="L581" s="110">
        <v>1.5271911575763832</v>
      </c>
      <c r="M581" s="110">
        <v>78.07677000000001</v>
      </c>
      <c r="N581" s="110">
        <v>0.81978589999999996</v>
      </c>
      <c r="O581" s="110"/>
      <c r="P581" s="110">
        <v>32.317839999999997</v>
      </c>
      <c r="Q581" s="110"/>
      <c r="R581" s="110"/>
      <c r="S581" s="110"/>
      <c r="T581" s="110"/>
    </row>
    <row r="582" spans="1:20">
      <c r="A582" s="110" t="s">
        <v>44</v>
      </c>
      <c r="B582" s="110" t="s">
        <v>65</v>
      </c>
      <c r="C582" s="110">
        <v>10160</v>
      </c>
      <c r="D582" s="110">
        <v>26.28003</v>
      </c>
      <c r="E582" s="110">
        <v>7142</v>
      </c>
      <c r="F582" s="110">
        <v>321.02</v>
      </c>
      <c r="G582" s="110">
        <v>0.83672724431104684</v>
      </c>
      <c r="H582" s="110">
        <v>1.5833051160085543</v>
      </c>
      <c r="I582" s="110"/>
      <c r="J582" s="110"/>
      <c r="K582" s="110">
        <v>0.89585480071454893</v>
      </c>
      <c r="L582" s="110">
        <v>1.5279122148597724</v>
      </c>
      <c r="M582" s="110">
        <v>77.880870000000002</v>
      </c>
      <c r="N582" s="110">
        <v>0.82105640000000002</v>
      </c>
      <c r="O582" s="110"/>
      <c r="P582" s="110">
        <v>32.778509999999997</v>
      </c>
      <c r="Q582" s="110"/>
      <c r="R582" s="110"/>
      <c r="S582" s="110"/>
      <c r="T582" s="110"/>
    </row>
    <row r="583" spans="1:20">
      <c r="A583" s="110" t="s">
        <v>44</v>
      </c>
      <c r="B583" s="110" t="s">
        <v>65</v>
      </c>
      <c r="C583" s="110">
        <v>10160</v>
      </c>
      <c r="D583" s="110">
        <v>26.28003</v>
      </c>
      <c r="E583" s="110">
        <v>7142</v>
      </c>
      <c r="F583" s="110">
        <v>321.02</v>
      </c>
      <c r="G583" s="110">
        <v>0.83672724431104684</v>
      </c>
      <c r="H583" s="110">
        <v>1.5833051160085543</v>
      </c>
      <c r="I583" s="110"/>
      <c r="J583" s="110"/>
      <c r="K583" s="110">
        <v>0.89560761505657338</v>
      </c>
      <c r="L583" s="110">
        <v>1.5285082982390492</v>
      </c>
      <c r="M583" s="110">
        <v>77.712910000000008</v>
      </c>
      <c r="N583" s="110">
        <v>0.82208570000000003</v>
      </c>
      <c r="O583" s="110"/>
      <c r="P583" s="110">
        <v>33.161499999999997</v>
      </c>
      <c r="Q583" s="110"/>
      <c r="R583" s="110"/>
      <c r="S583" s="110"/>
      <c r="T583" s="110"/>
    </row>
    <row r="584" spans="1:20">
      <c r="A584" s="110" t="s">
        <v>44</v>
      </c>
      <c r="B584" s="110" t="s">
        <v>65</v>
      </c>
      <c r="C584" s="110">
        <v>10160</v>
      </c>
      <c r="D584" s="110">
        <v>26.28003</v>
      </c>
      <c r="E584" s="110">
        <v>7142</v>
      </c>
      <c r="F584" s="110">
        <v>321.02</v>
      </c>
      <c r="G584" s="110">
        <v>0.83672724431104684</v>
      </c>
      <c r="H584" s="110">
        <v>1.5833051160085543</v>
      </c>
      <c r="I584" s="110"/>
      <c r="J584" s="110"/>
      <c r="K584" s="110">
        <v>0.89423854907024736</v>
      </c>
      <c r="L584" s="110">
        <v>1.5316108405625513</v>
      </c>
      <c r="M584" s="110">
        <v>76.742980000000003</v>
      </c>
      <c r="N584" s="110">
        <v>0.82709730000000004</v>
      </c>
      <c r="O584" s="110"/>
      <c r="P584" s="110">
        <v>35.18356</v>
      </c>
      <c r="Q584" s="110"/>
      <c r="R584" s="110"/>
      <c r="S584" s="110"/>
      <c r="T584" s="110"/>
    </row>
    <row r="585" spans="1:20">
      <c r="A585" s="110" t="s">
        <v>44</v>
      </c>
      <c r="B585" s="110" t="s">
        <v>65</v>
      </c>
      <c r="C585" s="110">
        <v>10160</v>
      </c>
      <c r="D585" s="110">
        <v>26.28003</v>
      </c>
      <c r="E585" s="110">
        <v>7142</v>
      </c>
      <c r="F585" s="110">
        <v>321.02</v>
      </c>
      <c r="G585" s="110">
        <v>0.83672724431104684</v>
      </c>
      <c r="H585" s="110">
        <v>1.5833051160085543</v>
      </c>
      <c r="I585" s="110"/>
      <c r="J585" s="110"/>
      <c r="K585" s="110">
        <v>0.89171681992674101</v>
      </c>
      <c r="L585" s="110">
        <v>1.5359627568933907</v>
      </c>
      <c r="M585" s="110">
        <v>75.030149999999992</v>
      </c>
      <c r="N585" s="110">
        <v>0.83306380000000002</v>
      </c>
      <c r="O585" s="110"/>
      <c r="P585" s="110">
        <v>38.175289999999997</v>
      </c>
      <c r="Q585" s="110"/>
      <c r="R585" s="110"/>
      <c r="S585" s="110"/>
      <c r="T585" s="110"/>
    </row>
    <row r="586" spans="1:20">
      <c r="A586" s="110" t="s">
        <v>44</v>
      </c>
      <c r="B586" s="110" t="s">
        <v>65</v>
      </c>
      <c r="C586" s="110">
        <v>10160</v>
      </c>
      <c r="D586" s="110">
        <v>26.28003</v>
      </c>
      <c r="E586" s="110">
        <v>7142</v>
      </c>
      <c r="F586" s="110">
        <v>321.02</v>
      </c>
      <c r="G586" s="110">
        <v>0.83672724431104684</v>
      </c>
      <c r="H586" s="110">
        <v>1.5833051160085543</v>
      </c>
      <c r="I586" s="110"/>
      <c r="J586" s="110"/>
      <c r="K586" s="110">
        <v>0.88783899267769606</v>
      </c>
      <c r="L586" s="110">
        <v>1.5410607711205748</v>
      </c>
      <c r="M586" s="110">
        <v>72.506299999999996</v>
      </c>
      <c r="N586" s="110">
        <v>0.83662400000000003</v>
      </c>
      <c r="O586" s="110"/>
      <c r="P586" s="110">
        <v>41.875979999999998</v>
      </c>
      <c r="Q586" s="110"/>
      <c r="R586" s="110"/>
      <c r="S586" s="110"/>
      <c r="T586" s="110"/>
    </row>
    <row r="587" spans="1:20">
      <c r="A587" s="110" t="s">
        <v>44</v>
      </c>
      <c r="B587" s="110" t="s">
        <v>65</v>
      </c>
      <c r="C587" s="110">
        <v>10160</v>
      </c>
      <c r="D587" s="110">
        <v>26.28003</v>
      </c>
      <c r="E587" s="110">
        <v>7142</v>
      </c>
      <c r="F587" s="110">
        <v>321.02</v>
      </c>
      <c r="G587" s="110">
        <v>0.83672724431104684</v>
      </c>
      <c r="H587" s="110">
        <v>1.5833051160085543</v>
      </c>
      <c r="I587" s="110"/>
      <c r="J587" s="110"/>
      <c r="K587" s="110">
        <v>0.88374281823728862</v>
      </c>
      <c r="L587" s="110">
        <v>1.5448799849197652</v>
      </c>
      <c r="M587" s="110">
        <v>70.06617</v>
      </c>
      <c r="N587" s="110">
        <v>0.83490379999999997</v>
      </c>
      <c r="O587" s="110"/>
      <c r="P587" s="110">
        <v>44.822249999999997</v>
      </c>
      <c r="Q587" s="110"/>
      <c r="R587" s="110"/>
      <c r="S587" s="110"/>
      <c r="T587" s="110"/>
    </row>
    <row r="588" spans="1:20">
      <c r="A588" s="110" t="s">
        <v>44</v>
      </c>
      <c r="B588" s="110" t="s">
        <v>65</v>
      </c>
      <c r="C588" s="110">
        <v>10160</v>
      </c>
      <c r="D588" s="110">
        <v>26.28003</v>
      </c>
      <c r="E588" s="110">
        <v>7142</v>
      </c>
      <c r="F588" s="110">
        <v>321.02</v>
      </c>
      <c r="G588" s="110">
        <v>0.83672724431104684</v>
      </c>
      <c r="H588" s="110">
        <v>1.5833051160085543</v>
      </c>
      <c r="I588" s="110"/>
      <c r="J588" s="110"/>
      <c r="K588" s="110">
        <v>0.88219368564698464</v>
      </c>
      <c r="L588" s="110">
        <v>1.5375606785598248</v>
      </c>
      <c r="M588" s="110">
        <v>67.599919999999997</v>
      </c>
      <c r="N588" s="110">
        <v>0.829399</v>
      </c>
      <c r="O588" s="110"/>
      <c r="P588" s="110">
        <v>47.345309999999998</v>
      </c>
      <c r="Q588" s="110"/>
      <c r="R588" s="110"/>
      <c r="S588" s="110"/>
      <c r="T588" s="110"/>
    </row>
    <row r="589" spans="1:20">
      <c r="A589" s="110" t="s">
        <v>44</v>
      </c>
      <c r="B589" s="110" t="s">
        <v>65</v>
      </c>
      <c r="C589" s="110">
        <v>10160</v>
      </c>
      <c r="D589" s="110">
        <v>26.28003</v>
      </c>
      <c r="E589" s="110">
        <v>7142</v>
      </c>
      <c r="F589" s="110">
        <v>321.02</v>
      </c>
      <c r="G589" s="110">
        <v>0.83672724431104684</v>
      </c>
      <c r="H589" s="110">
        <v>1.5833051160085543</v>
      </c>
      <c r="I589" s="110"/>
      <c r="J589" s="110"/>
      <c r="K589" s="110">
        <v>0.88023733679056793</v>
      </c>
      <c r="L589" s="110">
        <v>1.5436192049720754</v>
      </c>
      <c r="M589" s="110">
        <v>62.296910000000004</v>
      </c>
      <c r="N589" s="110">
        <v>0.80664469999999999</v>
      </c>
      <c r="O589" s="110"/>
      <c r="P589" s="110">
        <v>51.626379999999997</v>
      </c>
      <c r="Q589" s="110"/>
      <c r="R589" s="110"/>
      <c r="S589" s="110"/>
      <c r="T589" s="110"/>
    </row>
    <row r="590" spans="1:20">
      <c r="A590" s="110" t="s">
        <v>44</v>
      </c>
      <c r="B590" s="110" t="s">
        <v>65</v>
      </c>
      <c r="C590" s="110">
        <v>10160</v>
      </c>
      <c r="D590" s="110">
        <v>26.28003</v>
      </c>
      <c r="E590" s="110">
        <v>7142</v>
      </c>
      <c r="F590" s="110">
        <v>321.02</v>
      </c>
      <c r="G590" s="110">
        <v>0.83672724431104684</v>
      </c>
      <c r="H590" s="110">
        <v>1.5833051160085543</v>
      </c>
      <c r="I590" s="110"/>
      <c r="J590" s="110"/>
      <c r="K590" s="110">
        <v>0.87570316160374484</v>
      </c>
      <c r="L590" s="110">
        <v>1.5322933895280044</v>
      </c>
      <c r="M590" s="110">
        <v>55.96772</v>
      </c>
      <c r="N590" s="110">
        <v>0.76395199999999996</v>
      </c>
      <c r="O590" s="110"/>
      <c r="P590" s="110">
        <v>55.265270000000001</v>
      </c>
      <c r="Q590" s="110"/>
      <c r="R590" s="110"/>
      <c r="S590" s="110"/>
      <c r="T590" s="110"/>
    </row>
    <row r="591" spans="1:20">
      <c r="A591" s="110" t="s">
        <v>44</v>
      </c>
      <c r="B591" s="110" t="s">
        <v>65</v>
      </c>
      <c r="C591" s="110">
        <v>10160</v>
      </c>
      <c r="D591" s="110">
        <v>26.28003</v>
      </c>
      <c r="E591" s="110">
        <v>7142</v>
      </c>
      <c r="F591" s="110">
        <v>321.02</v>
      </c>
      <c r="G591" s="110">
        <v>0.83672724431104684</v>
      </c>
      <c r="H591" s="110">
        <v>1.5833051160085543</v>
      </c>
      <c r="I591" s="110"/>
      <c r="J591" s="110"/>
      <c r="K591" s="110">
        <v>0.87362308189768778</v>
      </c>
      <c r="L591" s="110">
        <v>1.5382622619526438</v>
      </c>
      <c r="M591" s="110">
        <v>47.313540000000003</v>
      </c>
      <c r="N591" s="110">
        <v>0.68483539999999998</v>
      </c>
      <c r="O591" s="110"/>
      <c r="P591" s="110">
        <v>58.485779999999998</v>
      </c>
      <c r="Q591" s="110"/>
      <c r="R591" s="110"/>
      <c r="S591" s="110"/>
      <c r="T591" s="110"/>
    </row>
    <row r="592" spans="1:20">
      <c r="A592" s="110" t="s">
        <v>44</v>
      </c>
      <c r="B592" s="110" t="s">
        <v>65</v>
      </c>
      <c r="C592" s="110">
        <v>10160</v>
      </c>
      <c r="D592" s="110">
        <v>26.28003</v>
      </c>
      <c r="E592" s="110">
        <v>7142</v>
      </c>
      <c r="F592" s="110">
        <v>321.02</v>
      </c>
      <c r="G592" s="110">
        <v>0.83672724431104684</v>
      </c>
      <c r="H592" s="110">
        <v>1.5833051160085543</v>
      </c>
      <c r="I592" s="110"/>
      <c r="J592" s="110"/>
      <c r="K592" s="110">
        <v>0.87520616642726534</v>
      </c>
      <c r="L592" s="110">
        <v>1.5242344114325159</v>
      </c>
      <c r="M592" s="110">
        <v>41.754049999999999</v>
      </c>
      <c r="N592" s="110">
        <v>0.62398410000000004</v>
      </c>
      <c r="O592" s="110"/>
      <c r="P592" s="110">
        <v>59.959339999999997</v>
      </c>
      <c r="Q592" s="110"/>
      <c r="R592" s="110"/>
      <c r="S592" s="110"/>
      <c r="T592" s="110"/>
    </row>
    <row r="593" spans="1:20">
      <c r="A593" s="110" t="s">
        <v>44</v>
      </c>
      <c r="B593" s="110" t="s">
        <v>65</v>
      </c>
      <c r="C593" s="110">
        <v>10160</v>
      </c>
      <c r="D593" s="110">
        <v>26.28003</v>
      </c>
      <c r="E593" s="110">
        <v>7142</v>
      </c>
      <c r="F593" s="110">
        <v>321.02</v>
      </c>
      <c r="G593" s="110">
        <v>0.83672724431104684</v>
      </c>
      <c r="H593" s="110">
        <v>1.5833051160085543</v>
      </c>
      <c r="I593" s="110"/>
      <c r="J593" s="110"/>
      <c r="K593" s="110">
        <v>0.87509588048271758</v>
      </c>
      <c r="L593" s="110">
        <v>1.5261713642254087</v>
      </c>
      <c r="M593" s="110">
        <v>39.119519999999994</v>
      </c>
      <c r="N593" s="110">
        <v>0.59310350000000001</v>
      </c>
      <c r="O593" s="110"/>
      <c r="P593" s="110">
        <v>60.55742</v>
      </c>
      <c r="Q593" s="110"/>
      <c r="R593" s="110"/>
      <c r="S593" s="110"/>
      <c r="T593" s="110"/>
    </row>
    <row r="594" spans="1:20">
      <c r="A594" s="110" t="s">
        <v>44</v>
      </c>
      <c r="B594" s="110" t="s">
        <v>65</v>
      </c>
      <c r="C594" s="110">
        <v>10160</v>
      </c>
      <c r="D594" s="110">
        <v>26.28003</v>
      </c>
      <c r="E594" s="110">
        <v>7142</v>
      </c>
      <c r="F594" s="110">
        <v>321.02</v>
      </c>
      <c r="G594" s="110">
        <v>0.83672724431104684</v>
      </c>
      <c r="H594" s="110">
        <v>1.5833051160085543</v>
      </c>
      <c r="I594" s="110"/>
      <c r="J594" s="110"/>
      <c r="K594" s="110">
        <v>0.87473154923584018</v>
      </c>
      <c r="L594" s="110">
        <v>1.5269090182361609</v>
      </c>
      <c r="M594" s="110">
        <v>38.16516</v>
      </c>
      <c r="N594" s="110">
        <v>0.58168229999999999</v>
      </c>
      <c r="O594" s="110"/>
      <c r="P594" s="110">
        <v>60.762459999999997</v>
      </c>
      <c r="Q594" s="110"/>
      <c r="R594" s="110"/>
      <c r="S594" s="110"/>
      <c r="T594" s="110"/>
    </row>
    <row r="595" spans="1:20">
      <c r="A595" s="110" t="s">
        <v>44</v>
      </c>
      <c r="B595" s="110" t="s">
        <v>65</v>
      </c>
      <c r="C595" s="110">
        <v>10160</v>
      </c>
      <c r="D595" s="110">
        <v>26.28003</v>
      </c>
      <c r="E595" s="110">
        <v>7142</v>
      </c>
      <c r="F595" s="110">
        <v>321.02</v>
      </c>
      <c r="G595" s="110">
        <v>0.83672724431104684</v>
      </c>
      <c r="H595" s="110">
        <v>1.5833051160085543</v>
      </c>
      <c r="I595" s="110"/>
      <c r="J595" s="110"/>
      <c r="K595" s="110">
        <v>0.87402960980200983</v>
      </c>
      <c r="L595" s="110">
        <v>1.5060797270081789</v>
      </c>
      <c r="M595" s="110">
        <v>33.983359999999998</v>
      </c>
      <c r="N595" s="110">
        <v>0.52941150000000003</v>
      </c>
      <c r="O595" s="110"/>
      <c r="P595" s="110">
        <v>61.584139999999998</v>
      </c>
      <c r="Q595" s="110"/>
      <c r="R595" s="110"/>
      <c r="S595" s="110"/>
      <c r="T595" s="110"/>
    </row>
    <row r="596" spans="1:20">
      <c r="A596" s="110" t="s">
        <v>44</v>
      </c>
      <c r="B596" s="110" t="s">
        <v>65</v>
      </c>
      <c r="C596" s="110">
        <v>9525</v>
      </c>
      <c r="D596" s="110">
        <v>26.28003</v>
      </c>
      <c r="E596" s="110">
        <v>7142</v>
      </c>
      <c r="F596" s="110">
        <v>321.02</v>
      </c>
      <c r="G596" s="110">
        <v>0.83672724431104684</v>
      </c>
      <c r="H596" s="110">
        <v>1.5833051160085543</v>
      </c>
      <c r="I596" s="110"/>
      <c r="J596" s="110"/>
      <c r="K596" s="110">
        <v>0.88503391528378705</v>
      </c>
      <c r="L596" s="110">
        <v>1.5300322800107313</v>
      </c>
      <c r="M596" s="110">
        <v>68.13588</v>
      </c>
      <c r="N596" s="110">
        <v>0.82210179999999999</v>
      </c>
      <c r="O596" s="110"/>
      <c r="P596" s="110">
        <v>29.91452</v>
      </c>
      <c r="Q596" s="110"/>
      <c r="R596" s="110"/>
      <c r="S596" s="110"/>
      <c r="T596" s="110"/>
    </row>
    <row r="597" spans="1:20">
      <c r="A597" s="110" t="s">
        <v>44</v>
      </c>
      <c r="B597" s="110" t="s">
        <v>65</v>
      </c>
      <c r="C597" s="110">
        <v>9525</v>
      </c>
      <c r="D597" s="110">
        <v>26.28003</v>
      </c>
      <c r="E597" s="110">
        <v>7142</v>
      </c>
      <c r="F597" s="110">
        <v>321.02</v>
      </c>
      <c r="G597" s="110">
        <v>0.83672724431104684</v>
      </c>
      <c r="H597" s="110">
        <v>1.5833051160085543</v>
      </c>
      <c r="I597" s="110"/>
      <c r="J597" s="110"/>
      <c r="K597" s="110">
        <v>0.88486898831301108</v>
      </c>
      <c r="L597" s="110">
        <v>1.5306506337845254</v>
      </c>
      <c r="M597" s="110">
        <v>67.982969999999995</v>
      </c>
      <c r="N597" s="110">
        <v>0.82309370000000004</v>
      </c>
      <c r="O597" s="110"/>
      <c r="P597" s="110">
        <v>30.261469999999999</v>
      </c>
      <c r="Q597" s="110"/>
      <c r="R597" s="110"/>
      <c r="S597" s="110"/>
      <c r="T597" s="110"/>
    </row>
    <row r="598" spans="1:20">
      <c r="A598" s="110" t="s">
        <v>44</v>
      </c>
      <c r="B598" s="110" t="s">
        <v>65</v>
      </c>
      <c r="C598" s="110">
        <v>9525</v>
      </c>
      <c r="D598" s="110">
        <v>26.28003</v>
      </c>
      <c r="E598" s="110">
        <v>7142</v>
      </c>
      <c r="F598" s="110">
        <v>321.02</v>
      </c>
      <c r="G598" s="110">
        <v>0.83672724431104684</v>
      </c>
      <c r="H598" s="110">
        <v>1.5833051160085543</v>
      </c>
      <c r="I598" s="110"/>
      <c r="J598" s="110"/>
      <c r="K598" s="110">
        <v>0.88478654430961723</v>
      </c>
      <c r="L598" s="110">
        <v>1.5309593601741447</v>
      </c>
      <c r="M598" s="110">
        <v>67.905100000000004</v>
      </c>
      <c r="N598" s="110">
        <v>0.82358129999999996</v>
      </c>
      <c r="O598" s="110"/>
      <c r="P598" s="110">
        <v>30.434950000000001</v>
      </c>
      <c r="Q598" s="110"/>
      <c r="R598" s="110"/>
      <c r="S598" s="110"/>
      <c r="T598" s="110"/>
    </row>
    <row r="599" spans="1:20">
      <c r="A599" s="110" t="s">
        <v>44</v>
      </c>
      <c r="B599" s="110" t="s">
        <v>65</v>
      </c>
      <c r="C599" s="110">
        <v>9525</v>
      </c>
      <c r="D599" s="110">
        <v>26.28003</v>
      </c>
      <c r="E599" s="110">
        <v>7142</v>
      </c>
      <c r="F599" s="110">
        <v>321.02</v>
      </c>
      <c r="G599" s="110">
        <v>0.83672724431104684</v>
      </c>
      <c r="H599" s="110">
        <v>1.5833051160085543</v>
      </c>
      <c r="I599" s="110"/>
      <c r="J599" s="110"/>
      <c r="K599" s="110">
        <v>0.8843202751481648</v>
      </c>
      <c r="L599" s="110">
        <v>1.5327088049868494</v>
      </c>
      <c r="M599" s="110">
        <v>67.436850000000007</v>
      </c>
      <c r="N599" s="110">
        <v>0.82619430000000005</v>
      </c>
      <c r="O599" s="110"/>
      <c r="P599" s="110">
        <v>31.410070000000001</v>
      </c>
      <c r="Q599" s="110"/>
      <c r="R599" s="110"/>
      <c r="S599" s="110"/>
      <c r="T599" s="110"/>
    </row>
    <row r="600" spans="1:20">
      <c r="A600" s="110" t="s">
        <v>44</v>
      </c>
      <c r="B600" s="110" t="s">
        <v>65</v>
      </c>
      <c r="C600" s="110">
        <v>9525</v>
      </c>
      <c r="D600" s="110">
        <v>26.28003</v>
      </c>
      <c r="E600" s="110">
        <v>7142</v>
      </c>
      <c r="F600" s="110">
        <v>321.02</v>
      </c>
      <c r="G600" s="110">
        <v>0.83672724431104684</v>
      </c>
      <c r="H600" s="110">
        <v>1.5833051160085543</v>
      </c>
      <c r="I600" s="110"/>
      <c r="J600" s="110"/>
      <c r="K600" s="110">
        <v>0.88337780408308419</v>
      </c>
      <c r="L600" s="110">
        <v>1.5361046357629879</v>
      </c>
      <c r="M600" s="110">
        <v>66.429949999999991</v>
      </c>
      <c r="N600" s="110">
        <v>0.83063109999999996</v>
      </c>
      <c r="O600" s="110"/>
      <c r="P600" s="110">
        <v>33.319690000000001</v>
      </c>
      <c r="Q600" s="110"/>
      <c r="R600" s="110"/>
      <c r="S600" s="110"/>
      <c r="T600" s="110"/>
    </row>
    <row r="601" spans="1:20">
      <c r="A601" s="110" t="s">
        <v>44</v>
      </c>
      <c r="B601" s="110" t="s">
        <v>65</v>
      </c>
      <c r="C601" s="110">
        <v>9525</v>
      </c>
      <c r="D601" s="110">
        <v>26.28003</v>
      </c>
      <c r="E601" s="110">
        <v>7142</v>
      </c>
      <c r="F601" s="110">
        <v>321.02</v>
      </c>
      <c r="G601" s="110">
        <v>0.83672724431104684</v>
      </c>
      <c r="H601" s="110">
        <v>1.5833051160085543</v>
      </c>
      <c r="I601" s="110"/>
      <c r="J601" s="110"/>
      <c r="K601" s="110">
        <v>0.88156556406730691</v>
      </c>
      <c r="L601" s="110">
        <v>1.5415883684205449</v>
      </c>
      <c r="M601" s="110">
        <v>64.494039999999998</v>
      </c>
      <c r="N601" s="110">
        <v>0.83541259999999995</v>
      </c>
      <c r="O601" s="110"/>
      <c r="P601" s="110">
        <v>36.49682</v>
      </c>
      <c r="Q601" s="110"/>
      <c r="R601" s="110"/>
      <c r="S601" s="110"/>
      <c r="T601" s="110"/>
    </row>
    <row r="602" spans="1:20">
      <c r="A602" s="110" t="s">
        <v>44</v>
      </c>
      <c r="B602" s="110" t="s">
        <v>65</v>
      </c>
      <c r="C602" s="110">
        <v>9525</v>
      </c>
      <c r="D602" s="110">
        <v>26.28003</v>
      </c>
      <c r="E602" s="110">
        <v>7142</v>
      </c>
      <c r="F602" s="110">
        <v>321.02</v>
      </c>
      <c r="G602" s="110">
        <v>0.83672724431104684</v>
      </c>
      <c r="H602" s="110">
        <v>1.5833051160085543</v>
      </c>
      <c r="I602" s="110"/>
      <c r="J602" s="110"/>
      <c r="K602" s="110">
        <v>0.88031863395765575</v>
      </c>
      <c r="L602" s="110">
        <v>1.5442091179047168</v>
      </c>
      <c r="M602" s="110">
        <v>63.340989999999998</v>
      </c>
      <c r="N602" s="110">
        <v>0.83609350000000004</v>
      </c>
      <c r="O602" s="110"/>
      <c r="P602" s="110">
        <v>38.129980000000003</v>
      </c>
      <c r="Q602" s="110"/>
      <c r="R602" s="110"/>
      <c r="S602" s="110"/>
      <c r="T602" s="110"/>
    </row>
    <row r="603" spans="1:20">
      <c r="A603" s="110" t="s">
        <v>44</v>
      </c>
      <c r="B603" s="110" t="s">
        <v>65</v>
      </c>
      <c r="C603" s="110">
        <v>9525</v>
      </c>
      <c r="D603" s="110">
        <v>26.28003</v>
      </c>
      <c r="E603" s="110">
        <v>7142</v>
      </c>
      <c r="F603" s="110">
        <v>321.02</v>
      </c>
      <c r="G603" s="110">
        <v>0.83672724431104684</v>
      </c>
      <c r="H603" s="110">
        <v>1.5833051160085543</v>
      </c>
      <c r="I603" s="110"/>
      <c r="J603" s="110"/>
      <c r="K603" s="110">
        <v>0.87805092733934986</v>
      </c>
      <c r="L603" s="110">
        <v>1.5480462186696624</v>
      </c>
      <c r="M603" s="110">
        <v>61.416719999999998</v>
      </c>
      <c r="N603" s="110">
        <v>0.8343161</v>
      </c>
      <c r="O603" s="110"/>
      <c r="P603" s="110">
        <v>40.538620000000002</v>
      </c>
      <c r="Q603" s="110"/>
      <c r="R603" s="110"/>
      <c r="S603" s="110"/>
      <c r="T603" s="110"/>
    </row>
    <row r="604" spans="1:20">
      <c r="A604" s="110" t="s">
        <v>44</v>
      </c>
      <c r="B604" s="110" t="s">
        <v>65</v>
      </c>
      <c r="C604" s="110">
        <v>9525</v>
      </c>
      <c r="D604" s="110">
        <v>26.28003</v>
      </c>
      <c r="E604" s="110">
        <v>7142</v>
      </c>
      <c r="F604" s="110">
        <v>321.02</v>
      </c>
      <c r="G604" s="110">
        <v>0.83672724431104684</v>
      </c>
      <c r="H604" s="110">
        <v>1.5833051160085543</v>
      </c>
      <c r="I604" s="110"/>
      <c r="J604" s="110"/>
      <c r="K604" s="110">
        <v>0.87667895277736807</v>
      </c>
      <c r="L604" s="110">
        <v>1.549928989539255</v>
      </c>
      <c r="M604" s="110">
        <v>60.368679999999998</v>
      </c>
      <c r="N604" s="110">
        <v>0.83214069999999996</v>
      </c>
      <c r="O604" s="110"/>
      <c r="P604" s="110">
        <v>41.70581</v>
      </c>
      <c r="Q604" s="110"/>
      <c r="R604" s="110"/>
      <c r="S604" s="110"/>
      <c r="T604" s="110"/>
    </row>
    <row r="605" spans="1:20">
      <c r="A605" s="110" t="s">
        <v>44</v>
      </c>
      <c r="B605" s="110" t="s">
        <v>65</v>
      </c>
      <c r="C605" s="110">
        <v>9525</v>
      </c>
      <c r="D605" s="110">
        <v>26.28003</v>
      </c>
      <c r="E605" s="110">
        <v>7142</v>
      </c>
      <c r="F605" s="110">
        <v>321.02</v>
      </c>
      <c r="G605" s="110">
        <v>0.83672724431104684</v>
      </c>
      <c r="H605" s="110">
        <v>1.5833051160085543</v>
      </c>
      <c r="I605" s="110"/>
      <c r="J605" s="110"/>
      <c r="K605" s="110">
        <v>0.87391441888957477</v>
      </c>
      <c r="L605" s="110">
        <v>1.5530273806183916</v>
      </c>
      <c r="M605" s="110">
        <v>58.460140000000003</v>
      </c>
      <c r="N605" s="110">
        <v>0.82603760000000004</v>
      </c>
      <c r="O605" s="110"/>
      <c r="P605" s="110">
        <v>43.60736</v>
      </c>
      <c r="Q605" s="110"/>
      <c r="R605" s="110"/>
      <c r="S605" s="110"/>
      <c r="T605" s="110"/>
    </row>
    <row r="606" spans="1:20">
      <c r="A606" s="110" t="s">
        <v>44</v>
      </c>
      <c r="B606" s="110" t="s">
        <v>65</v>
      </c>
      <c r="C606" s="110">
        <v>9525</v>
      </c>
      <c r="D606" s="110">
        <v>26.28003</v>
      </c>
      <c r="E606" s="110">
        <v>7142</v>
      </c>
      <c r="F606" s="110">
        <v>321.02</v>
      </c>
      <c r="G606" s="110">
        <v>0.83672724431104684</v>
      </c>
      <c r="H606" s="110">
        <v>1.5833051160085543</v>
      </c>
      <c r="I606" s="110"/>
      <c r="J606" s="110"/>
      <c r="K606" s="110">
        <v>0.8723034600510825</v>
      </c>
      <c r="L606" s="110">
        <v>1.5545346658315555</v>
      </c>
      <c r="M606" s="110">
        <v>57.451650000000001</v>
      </c>
      <c r="N606" s="110">
        <v>0.82184570000000001</v>
      </c>
      <c r="O606" s="110"/>
      <c r="P606" s="110">
        <v>44.520850000000003</v>
      </c>
      <c r="Q606" s="110"/>
      <c r="R606" s="110"/>
      <c r="S606" s="110"/>
      <c r="T606" s="110"/>
    </row>
    <row r="607" spans="1:20">
      <c r="A607" s="110" t="s">
        <v>44</v>
      </c>
      <c r="B607" s="110" t="s">
        <v>65</v>
      </c>
      <c r="C607" s="110">
        <v>9525</v>
      </c>
      <c r="D607" s="110">
        <v>26.28003</v>
      </c>
      <c r="E607" s="110">
        <v>7142</v>
      </c>
      <c r="F607" s="110">
        <v>321.02</v>
      </c>
      <c r="G607" s="110">
        <v>0.83672724431104684</v>
      </c>
      <c r="H607" s="110">
        <v>1.5833051160085543</v>
      </c>
      <c r="I607" s="110"/>
      <c r="J607" s="110"/>
      <c r="K607" s="110">
        <v>0.87306554350658061</v>
      </c>
      <c r="L607" s="110">
        <v>1.5426697337138597</v>
      </c>
      <c r="M607" s="110">
        <v>54.061779999999999</v>
      </c>
      <c r="N607" s="110">
        <v>0.80287350000000002</v>
      </c>
      <c r="O607" s="110"/>
      <c r="P607" s="110">
        <v>47.152540000000002</v>
      </c>
      <c r="Q607" s="110"/>
      <c r="R607" s="110"/>
      <c r="S607" s="110"/>
      <c r="T607" s="110"/>
    </row>
    <row r="608" spans="1:20">
      <c r="A608" s="110" t="s">
        <v>44</v>
      </c>
      <c r="B608" s="110" t="s">
        <v>65</v>
      </c>
      <c r="C608" s="110">
        <v>9525</v>
      </c>
      <c r="D608" s="110">
        <v>26.28003</v>
      </c>
      <c r="E608" s="110">
        <v>7142</v>
      </c>
      <c r="F608" s="110">
        <v>321.02</v>
      </c>
      <c r="G608" s="110">
        <v>0.83672724431104684</v>
      </c>
      <c r="H608" s="110">
        <v>1.5833051160085543</v>
      </c>
      <c r="I608" s="110"/>
      <c r="J608" s="110"/>
      <c r="K608" s="110">
        <v>0.87289328796614485</v>
      </c>
      <c r="L608" s="110">
        <v>1.5448340778611125</v>
      </c>
      <c r="M608" s="110">
        <v>52.241120000000002</v>
      </c>
      <c r="N608" s="110">
        <v>0.7897767</v>
      </c>
      <c r="O608" s="110"/>
      <c r="P608" s="110">
        <v>48.319749999999999</v>
      </c>
      <c r="Q608" s="110"/>
      <c r="R608" s="110"/>
      <c r="S608" s="110"/>
      <c r="T608" s="110"/>
    </row>
    <row r="609" spans="1:20">
      <c r="A609" s="110" t="s">
        <v>44</v>
      </c>
      <c r="B609" s="110" t="s">
        <v>65</v>
      </c>
      <c r="C609" s="110">
        <v>9525</v>
      </c>
      <c r="D609" s="110">
        <v>26.28003</v>
      </c>
      <c r="E609" s="110">
        <v>7142</v>
      </c>
      <c r="F609" s="110">
        <v>321.02</v>
      </c>
      <c r="G609" s="110">
        <v>0.83672724431104684</v>
      </c>
      <c r="H609" s="110">
        <v>1.5833051160085543</v>
      </c>
      <c r="I609" s="110"/>
      <c r="J609" s="110"/>
      <c r="K609" s="110">
        <v>0.87071027474453988</v>
      </c>
      <c r="L609" s="110">
        <v>1.5485457648485959</v>
      </c>
      <c r="M609" s="110">
        <v>48.563410000000005</v>
      </c>
      <c r="N609" s="110">
        <v>0.75868119999999994</v>
      </c>
      <c r="O609" s="110"/>
      <c r="P609" s="110">
        <v>50.32667</v>
      </c>
      <c r="Q609" s="110"/>
      <c r="R609" s="110"/>
      <c r="S609" s="110"/>
      <c r="T609" s="110"/>
    </row>
    <row r="610" spans="1:20">
      <c r="A610" s="110" t="s">
        <v>44</v>
      </c>
      <c r="B610" s="110" t="s">
        <v>65</v>
      </c>
      <c r="C610" s="110">
        <v>9525</v>
      </c>
      <c r="D610" s="110">
        <v>26.28003</v>
      </c>
      <c r="E610" s="110">
        <v>7142</v>
      </c>
      <c r="F610" s="110">
        <v>321.02</v>
      </c>
      <c r="G610" s="110">
        <v>0.83672724431104684</v>
      </c>
      <c r="H610" s="110">
        <v>1.5833051160085543</v>
      </c>
      <c r="I610" s="110"/>
      <c r="J610" s="110"/>
      <c r="K610" s="110">
        <v>0.86855675135922761</v>
      </c>
      <c r="L610" s="110">
        <v>1.550443681605141</v>
      </c>
      <c r="M610" s="110">
        <v>46.503419999999998</v>
      </c>
      <c r="N610" s="110">
        <v>0.73872210000000005</v>
      </c>
      <c r="O610" s="110"/>
      <c r="P610" s="110">
        <v>51.280050000000003</v>
      </c>
      <c r="Q610" s="110"/>
      <c r="R610" s="110"/>
      <c r="S610" s="110"/>
      <c r="T610" s="110"/>
    </row>
    <row r="611" spans="1:20">
      <c r="A611" s="110" t="s">
        <v>44</v>
      </c>
      <c r="B611" s="110" t="s">
        <v>65</v>
      </c>
      <c r="C611" s="110">
        <v>9525</v>
      </c>
      <c r="D611" s="110">
        <v>26.28003</v>
      </c>
      <c r="E611" s="110">
        <v>7142</v>
      </c>
      <c r="F611" s="110">
        <v>321.02</v>
      </c>
      <c r="G611" s="110">
        <v>0.83672724431104684</v>
      </c>
      <c r="H611" s="110">
        <v>1.5833051160085543</v>
      </c>
      <c r="I611" s="110"/>
      <c r="J611" s="110"/>
      <c r="K611" s="110">
        <v>0.87039748344717183</v>
      </c>
      <c r="L611" s="110">
        <v>1.5318376557385145</v>
      </c>
      <c r="M611" s="110">
        <v>42.495809999999999</v>
      </c>
      <c r="N611" s="110">
        <v>0.69590339999999995</v>
      </c>
      <c r="O611" s="110"/>
      <c r="P611" s="110">
        <v>52.873390000000001</v>
      </c>
      <c r="Q611" s="110"/>
      <c r="R611" s="110"/>
      <c r="S611" s="110"/>
      <c r="T611" s="110"/>
    </row>
    <row r="612" spans="1:20">
      <c r="A612" s="110" t="s">
        <v>44</v>
      </c>
      <c r="B612" s="110" t="s">
        <v>65</v>
      </c>
      <c r="C612" s="110">
        <v>9525</v>
      </c>
      <c r="D612" s="110">
        <v>26.28003</v>
      </c>
      <c r="E612" s="110">
        <v>7142</v>
      </c>
      <c r="F612" s="110">
        <v>321.02</v>
      </c>
      <c r="G612" s="110">
        <v>0.83672724431104684</v>
      </c>
      <c r="H612" s="110">
        <v>1.5833051160085543</v>
      </c>
      <c r="I612" s="110"/>
      <c r="J612" s="110"/>
      <c r="K612" s="110">
        <v>0.8706514546054428</v>
      </c>
      <c r="L612" s="110">
        <v>1.5335723650238806</v>
      </c>
      <c r="M612" s="110">
        <v>40.251460000000002</v>
      </c>
      <c r="N612" s="110">
        <v>0.66976190000000002</v>
      </c>
      <c r="O612" s="110"/>
      <c r="P612" s="110">
        <v>53.629300000000001</v>
      </c>
      <c r="Q612" s="110"/>
      <c r="R612" s="110"/>
      <c r="S612" s="110"/>
      <c r="T612" s="110"/>
    </row>
    <row r="613" spans="1:20">
      <c r="A613" s="110" t="s">
        <v>44</v>
      </c>
      <c r="B613" s="110" t="s">
        <v>65</v>
      </c>
      <c r="C613" s="110">
        <v>9525</v>
      </c>
      <c r="D613" s="110">
        <v>26.28003</v>
      </c>
      <c r="E613" s="110">
        <v>7142</v>
      </c>
      <c r="F613" s="110">
        <v>321.02</v>
      </c>
      <c r="G613" s="110">
        <v>0.83672724431104684</v>
      </c>
      <c r="H613" s="110">
        <v>1.5833051160085543</v>
      </c>
      <c r="I613" s="110"/>
      <c r="J613" s="110"/>
      <c r="K613" s="110">
        <v>0.86862813420353457</v>
      </c>
      <c r="L613" s="110">
        <v>1.5392596227553412</v>
      </c>
      <c r="M613" s="110">
        <v>35.974959999999996</v>
      </c>
      <c r="N613" s="110">
        <v>0.61553420000000003</v>
      </c>
      <c r="O613" s="110"/>
      <c r="P613" s="110">
        <v>54.856819999999999</v>
      </c>
      <c r="Q613" s="110"/>
      <c r="R613" s="110"/>
      <c r="S613" s="110"/>
      <c r="T613" s="110"/>
    </row>
    <row r="614" spans="1:20">
      <c r="A614" s="110" t="s">
        <v>44</v>
      </c>
      <c r="B614" s="110" t="s">
        <v>65</v>
      </c>
      <c r="C614" s="110">
        <v>9525</v>
      </c>
      <c r="D614" s="110">
        <v>26.28003</v>
      </c>
      <c r="E614" s="110">
        <v>7142</v>
      </c>
      <c r="F614" s="110">
        <v>321.02</v>
      </c>
      <c r="G614" s="110">
        <v>0.83672724431104684</v>
      </c>
      <c r="H614" s="110">
        <v>1.5833051160085543</v>
      </c>
      <c r="I614" s="110"/>
      <c r="J614" s="110"/>
      <c r="K614" s="110">
        <v>0.86962974838043983</v>
      </c>
      <c r="L614" s="110">
        <v>1.5184758394396551</v>
      </c>
      <c r="M614" s="110">
        <v>33.662210000000002</v>
      </c>
      <c r="N614" s="110">
        <v>0.58426889999999998</v>
      </c>
      <c r="O614" s="110"/>
      <c r="P614" s="110">
        <v>55.435090000000002</v>
      </c>
      <c r="Q614" s="110"/>
      <c r="R614" s="110"/>
      <c r="S614" s="110"/>
      <c r="T614" s="110"/>
    </row>
    <row r="615" spans="1:20">
      <c r="A615" s="110" t="s">
        <v>44</v>
      </c>
      <c r="B615" s="110" t="s">
        <v>65</v>
      </c>
      <c r="C615" s="110">
        <v>9525</v>
      </c>
      <c r="D615" s="110">
        <v>26.28003</v>
      </c>
      <c r="E615" s="110">
        <v>7142</v>
      </c>
      <c r="F615" s="110">
        <v>321.02</v>
      </c>
      <c r="G615" s="110">
        <v>0.83672724431104684</v>
      </c>
      <c r="H615" s="110">
        <v>1.5833051160085543</v>
      </c>
      <c r="I615" s="110"/>
      <c r="J615" s="110"/>
      <c r="K615" s="110">
        <v>0.87123802453970733</v>
      </c>
      <c r="L615" s="110">
        <v>1.5202254883422039</v>
      </c>
      <c r="M615" s="110">
        <v>31.483509999999999</v>
      </c>
      <c r="N615" s="110">
        <v>0.55371890000000001</v>
      </c>
      <c r="O615" s="110"/>
      <c r="P615" s="110">
        <v>55.937260000000002</v>
      </c>
      <c r="Q615" s="110"/>
      <c r="R615" s="110"/>
      <c r="S615" s="110"/>
      <c r="T615" s="110"/>
    </row>
    <row r="616" spans="1:20">
      <c r="A616" s="110" t="s">
        <v>44</v>
      </c>
      <c r="B616" s="110" t="s">
        <v>65</v>
      </c>
      <c r="C616" s="110">
        <v>9525</v>
      </c>
      <c r="D616" s="110">
        <v>26.28003</v>
      </c>
      <c r="E616" s="110">
        <v>7142</v>
      </c>
      <c r="F616" s="110">
        <v>321.02</v>
      </c>
      <c r="G616" s="110">
        <v>0.83672724431104684</v>
      </c>
      <c r="H616" s="110">
        <v>1.5833051160085543</v>
      </c>
      <c r="I616" s="110"/>
      <c r="J616" s="110"/>
      <c r="K616" s="110">
        <v>0.87158004573556025</v>
      </c>
      <c r="L616" s="110">
        <v>1.5209162263193687</v>
      </c>
      <c r="M616" s="110">
        <v>30.641269999999999</v>
      </c>
      <c r="N616" s="110">
        <v>0.54161610000000004</v>
      </c>
      <c r="O616" s="110"/>
      <c r="P616" s="110">
        <v>56.123280000000001</v>
      </c>
      <c r="Q616" s="110"/>
      <c r="R616" s="110"/>
      <c r="S616" s="110"/>
      <c r="T616" s="110"/>
    </row>
    <row r="617" spans="1:20">
      <c r="A617" s="110" t="s">
        <v>44</v>
      </c>
      <c r="B617" s="110" t="s">
        <v>65</v>
      </c>
      <c r="C617" s="110">
        <v>8890</v>
      </c>
      <c r="D617" s="110">
        <v>26.28003</v>
      </c>
      <c r="E617" s="110">
        <v>7142</v>
      </c>
      <c r="F617" s="110">
        <v>321.02</v>
      </c>
      <c r="G617" s="110">
        <v>0.83672724431104684</v>
      </c>
      <c r="H617" s="110">
        <v>1.5833051160085543</v>
      </c>
      <c r="I617" s="110"/>
      <c r="J617" s="110"/>
      <c r="K617" s="110">
        <v>0.87647736234707296</v>
      </c>
      <c r="L617" s="110">
        <v>1.5461404447298788</v>
      </c>
      <c r="M617" s="110">
        <v>58.88937</v>
      </c>
      <c r="N617" s="110">
        <v>0.82428100000000004</v>
      </c>
      <c r="O617" s="110"/>
      <c r="P617" s="110">
        <v>27.56288</v>
      </c>
      <c r="Q617" s="110"/>
      <c r="R617" s="110"/>
      <c r="S617" s="110"/>
      <c r="T617" s="110"/>
    </row>
    <row r="618" spans="1:20">
      <c r="A618" s="110" t="s">
        <v>44</v>
      </c>
      <c r="B618" s="110" t="s">
        <v>65</v>
      </c>
      <c r="C618" s="110">
        <v>8890</v>
      </c>
      <c r="D618" s="110">
        <v>26.28003</v>
      </c>
      <c r="E618" s="110">
        <v>7142</v>
      </c>
      <c r="F618" s="110">
        <v>321.02</v>
      </c>
      <c r="G618" s="110">
        <v>0.83672724431104684</v>
      </c>
      <c r="H618" s="110">
        <v>1.5833051160085543</v>
      </c>
      <c r="I618" s="110"/>
      <c r="J618" s="110"/>
      <c r="K618" s="110">
        <v>0.87601916762973897</v>
      </c>
      <c r="L618" s="110">
        <v>1.5469248527959893</v>
      </c>
      <c r="M618" s="110">
        <v>58.70402</v>
      </c>
      <c r="N618" s="110">
        <v>0.82545179999999996</v>
      </c>
      <c r="O618" s="110"/>
      <c r="P618" s="110">
        <v>27.960550000000001</v>
      </c>
      <c r="Q618" s="110"/>
      <c r="R618" s="110"/>
      <c r="S618" s="110"/>
      <c r="T618" s="110"/>
    </row>
    <row r="619" spans="1:20">
      <c r="A619" s="110" t="s">
        <v>44</v>
      </c>
      <c r="B619" s="110" t="s">
        <v>65</v>
      </c>
      <c r="C619" s="110">
        <v>8890</v>
      </c>
      <c r="D619" s="110">
        <v>26.28003</v>
      </c>
      <c r="E619" s="110">
        <v>7142</v>
      </c>
      <c r="F619" s="110">
        <v>321.02</v>
      </c>
      <c r="G619" s="110">
        <v>0.83672724431104684</v>
      </c>
      <c r="H619" s="110">
        <v>1.5833051160085543</v>
      </c>
      <c r="I619" s="110"/>
      <c r="J619" s="110"/>
      <c r="K619" s="110">
        <v>0.87579038404077636</v>
      </c>
      <c r="L619" s="110">
        <v>1.5473126490918292</v>
      </c>
      <c r="M619" s="110">
        <v>58.611160000000005</v>
      </c>
      <c r="N619" s="110">
        <v>0.82602030000000004</v>
      </c>
      <c r="O619" s="110"/>
      <c r="P619" s="110">
        <v>28.159389999999998</v>
      </c>
      <c r="Q619" s="110"/>
      <c r="R619" s="110"/>
      <c r="S619" s="110"/>
      <c r="T619" s="110"/>
    </row>
    <row r="620" spans="1:20">
      <c r="A620" s="110" t="s">
        <v>44</v>
      </c>
      <c r="B620" s="110" t="s">
        <v>65</v>
      </c>
      <c r="C620" s="110">
        <v>8890</v>
      </c>
      <c r="D620" s="110">
        <v>26.28003</v>
      </c>
      <c r="E620" s="110">
        <v>7142</v>
      </c>
      <c r="F620" s="110">
        <v>321.02</v>
      </c>
      <c r="G620" s="110">
        <v>0.83672724431104684</v>
      </c>
      <c r="H620" s="110">
        <v>1.5833051160085543</v>
      </c>
      <c r="I620" s="110"/>
      <c r="J620" s="110"/>
      <c r="K620" s="110">
        <v>0.87485782418652036</v>
      </c>
      <c r="L620" s="110">
        <v>1.5488531776018546</v>
      </c>
      <c r="M620" s="110">
        <v>58.228089999999995</v>
      </c>
      <c r="N620" s="110">
        <v>0.82816959999999995</v>
      </c>
      <c r="O620" s="110"/>
      <c r="P620" s="110">
        <v>28.953209999999999</v>
      </c>
      <c r="Q620" s="110"/>
      <c r="R620" s="110"/>
      <c r="S620" s="110"/>
      <c r="T620" s="110"/>
    </row>
    <row r="621" spans="1:20">
      <c r="A621" s="110" t="s">
        <v>44</v>
      </c>
      <c r="B621" s="110" t="s">
        <v>65</v>
      </c>
      <c r="C621" s="110">
        <v>8890</v>
      </c>
      <c r="D621" s="110">
        <v>26.28003</v>
      </c>
      <c r="E621" s="110">
        <v>7142</v>
      </c>
      <c r="F621" s="110">
        <v>321.02</v>
      </c>
      <c r="G621" s="110">
        <v>0.83672724431104684</v>
      </c>
      <c r="H621" s="110">
        <v>1.5833051160085543</v>
      </c>
      <c r="I621" s="110"/>
      <c r="J621" s="110"/>
      <c r="K621" s="110">
        <v>0.87339020456363781</v>
      </c>
      <c r="L621" s="110">
        <v>1.5358678247826774</v>
      </c>
      <c r="M621" s="110">
        <v>57.242010000000001</v>
      </c>
      <c r="N621" s="110">
        <v>0.83228729999999995</v>
      </c>
      <c r="O621" s="110"/>
      <c r="P621" s="110">
        <v>30.806429999999999</v>
      </c>
      <c r="Q621" s="110"/>
      <c r="R621" s="110"/>
      <c r="S621" s="110"/>
      <c r="T621" s="110"/>
    </row>
    <row r="622" spans="1:20">
      <c r="A622" s="110" t="s">
        <v>44</v>
      </c>
      <c r="B622" s="110" t="s">
        <v>65</v>
      </c>
      <c r="C622" s="110">
        <v>8890</v>
      </c>
      <c r="D622" s="110">
        <v>26.28003</v>
      </c>
      <c r="E622" s="110">
        <v>7142</v>
      </c>
      <c r="F622" s="110">
        <v>321.02</v>
      </c>
      <c r="G622" s="110">
        <v>0.83672724431104684</v>
      </c>
      <c r="H622" s="110">
        <v>1.5833051160085543</v>
      </c>
      <c r="I622" s="110"/>
      <c r="J622" s="110"/>
      <c r="K622" s="110">
        <v>0.87278786246684281</v>
      </c>
      <c r="L622" s="110">
        <v>1.5412299317183429</v>
      </c>
      <c r="M622" s="110">
        <v>55.52852</v>
      </c>
      <c r="N622" s="110">
        <v>0.83554260000000002</v>
      </c>
      <c r="O622" s="110"/>
      <c r="P622" s="110">
        <v>33.553789999999999</v>
      </c>
      <c r="Q622" s="110"/>
      <c r="R622" s="110"/>
      <c r="S622" s="110"/>
      <c r="T622" s="110"/>
    </row>
    <row r="623" spans="1:20">
      <c r="A623" s="110" t="s">
        <v>44</v>
      </c>
      <c r="B623" s="110" t="s">
        <v>65</v>
      </c>
      <c r="C623" s="110">
        <v>8890</v>
      </c>
      <c r="D623" s="110">
        <v>26.28003</v>
      </c>
      <c r="E623" s="110">
        <v>7142</v>
      </c>
      <c r="F623" s="110">
        <v>321.02</v>
      </c>
      <c r="G623" s="110">
        <v>0.83672724431104684</v>
      </c>
      <c r="H623" s="110">
        <v>1.5833051160085543</v>
      </c>
      <c r="I623" s="110"/>
      <c r="J623" s="110"/>
      <c r="K623" s="110">
        <v>0.8724335771096563</v>
      </c>
      <c r="L623" s="110">
        <v>1.5438455713498433</v>
      </c>
      <c r="M623" s="110">
        <v>54.555510000000005</v>
      </c>
      <c r="N623" s="110">
        <v>0.83546419999999999</v>
      </c>
      <c r="O623" s="110"/>
      <c r="P623" s="110">
        <v>34.89237</v>
      </c>
      <c r="Q623" s="110"/>
      <c r="R623" s="110"/>
      <c r="S623" s="110"/>
      <c r="T623" s="110"/>
    </row>
    <row r="624" spans="1:20">
      <c r="A624" s="110" t="s">
        <v>44</v>
      </c>
      <c r="B624" s="110" t="s">
        <v>65</v>
      </c>
      <c r="C624" s="110">
        <v>8890</v>
      </c>
      <c r="D624" s="110">
        <v>26.28003</v>
      </c>
      <c r="E624" s="110">
        <v>7142</v>
      </c>
      <c r="F624" s="110">
        <v>321.02</v>
      </c>
      <c r="G624" s="110">
        <v>0.83672724431104684</v>
      </c>
      <c r="H624" s="110">
        <v>1.5833051160085543</v>
      </c>
      <c r="I624" s="110"/>
      <c r="J624" s="110"/>
      <c r="K624" s="110">
        <v>0.8716977545457526</v>
      </c>
      <c r="L624" s="110">
        <v>1.5477635391636604</v>
      </c>
      <c r="M624" s="110">
        <v>52.936129999999999</v>
      </c>
      <c r="N624" s="110">
        <v>0.83296559999999997</v>
      </c>
      <c r="O624" s="110"/>
      <c r="P624" s="110">
        <v>36.926130000000001</v>
      </c>
      <c r="Q624" s="110"/>
      <c r="R624" s="110"/>
      <c r="S624" s="110"/>
      <c r="T624" s="110"/>
    </row>
    <row r="625" spans="1:20">
      <c r="A625" s="110" t="s">
        <v>44</v>
      </c>
      <c r="B625" s="110" t="s">
        <v>65</v>
      </c>
      <c r="C625" s="110">
        <v>8890</v>
      </c>
      <c r="D625" s="110">
        <v>26.28003</v>
      </c>
      <c r="E625" s="110">
        <v>7142</v>
      </c>
      <c r="F625" s="110">
        <v>321.02</v>
      </c>
      <c r="G625" s="110">
        <v>0.83672724431104684</v>
      </c>
      <c r="H625" s="110">
        <v>1.5833051160085543</v>
      </c>
      <c r="I625" s="110"/>
      <c r="J625" s="110"/>
      <c r="K625" s="110">
        <v>0.87106690371154283</v>
      </c>
      <c r="L625" s="110">
        <v>1.5497502544879072</v>
      </c>
      <c r="M625" s="110">
        <v>51.972850000000001</v>
      </c>
      <c r="N625" s="110">
        <v>0.8300168</v>
      </c>
      <c r="O625" s="110"/>
      <c r="P625" s="110">
        <v>38.004330000000003</v>
      </c>
      <c r="Q625" s="110"/>
      <c r="R625" s="110"/>
      <c r="S625" s="110"/>
      <c r="T625" s="110"/>
    </row>
    <row r="626" spans="1:20">
      <c r="A626" s="110" t="s">
        <v>44</v>
      </c>
      <c r="B626" s="110" t="s">
        <v>65</v>
      </c>
      <c r="C626" s="110">
        <v>8890</v>
      </c>
      <c r="D626" s="110">
        <v>26.28003</v>
      </c>
      <c r="E626" s="110">
        <v>7142</v>
      </c>
      <c r="F626" s="110">
        <v>321.02</v>
      </c>
      <c r="G626" s="110">
        <v>0.83672724431104684</v>
      </c>
      <c r="H626" s="110">
        <v>1.5833051160085543</v>
      </c>
      <c r="I626" s="110"/>
      <c r="J626" s="110"/>
      <c r="K626" s="110">
        <v>0.86973610026135972</v>
      </c>
      <c r="L626" s="110">
        <v>1.552860925066686</v>
      </c>
      <c r="M626" s="110">
        <v>50.323730000000005</v>
      </c>
      <c r="N626" s="110">
        <v>0.82298269999999996</v>
      </c>
      <c r="O626" s="110"/>
      <c r="P626" s="110">
        <v>39.679519999999997</v>
      </c>
      <c r="Q626" s="110"/>
      <c r="R626" s="110"/>
      <c r="S626" s="110"/>
      <c r="T626" s="110"/>
    </row>
    <row r="627" spans="1:20">
      <c r="A627" s="110" t="s">
        <v>44</v>
      </c>
      <c r="B627" s="110" t="s">
        <v>65</v>
      </c>
      <c r="C627" s="110">
        <v>8890</v>
      </c>
      <c r="D627" s="110">
        <v>26.28003</v>
      </c>
      <c r="E627" s="110">
        <v>7142</v>
      </c>
      <c r="F627" s="110">
        <v>321.02</v>
      </c>
      <c r="G627" s="110">
        <v>0.83672724431104684</v>
      </c>
      <c r="H627" s="110">
        <v>1.5833051160085543</v>
      </c>
      <c r="I627" s="110"/>
      <c r="J627" s="110"/>
      <c r="K627" s="110">
        <v>0.86888192143673926</v>
      </c>
      <c r="L627" s="110">
        <v>1.5544392529233664</v>
      </c>
      <c r="M627" s="110">
        <v>49.427610000000001</v>
      </c>
      <c r="N627" s="110">
        <v>0.81820950000000003</v>
      </c>
      <c r="O627" s="110"/>
      <c r="P627" s="110">
        <v>40.511380000000003</v>
      </c>
      <c r="Q627" s="110"/>
      <c r="R627" s="110"/>
      <c r="S627" s="110"/>
      <c r="T627" s="110"/>
    </row>
    <row r="628" spans="1:20">
      <c r="A628" s="110" t="s">
        <v>44</v>
      </c>
      <c r="B628" s="110" t="s">
        <v>65</v>
      </c>
      <c r="C628" s="110">
        <v>8890</v>
      </c>
      <c r="D628" s="110">
        <v>26.28003</v>
      </c>
      <c r="E628" s="110">
        <v>7142</v>
      </c>
      <c r="F628" s="110">
        <v>321.02</v>
      </c>
      <c r="G628" s="110">
        <v>0.83672724431104684</v>
      </c>
      <c r="H628" s="110">
        <v>1.5833051160085543</v>
      </c>
      <c r="I628" s="110"/>
      <c r="J628" s="110"/>
      <c r="K628" s="110">
        <v>0.86538663198090116</v>
      </c>
      <c r="L628" s="110">
        <v>1.559098996558786</v>
      </c>
      <c r="M628" s="110">
        <v>46.452370000000002</v>
      </c>
      <c r="N628" s="110">
        <v>0.79720239999999998</v>
      </c>
      <c r="O628" s="110"/>
      <c r="P628" s="110">
        <v>42.853700000000003</v>
      </c>
      <c r="Q628" s="110"/>
      <c r="R628" s="110"/>
      <c r="S628" s="110"/>
      <c r="T628" s="110"/>
    </row>
    <row r="629" spans="1:20">
      <c r="A629" s="110" t="s">
        <v>44</v>
      </c>
      <c r="B629" s="110" t="s">
        <v>65</v>
      </c>
      <c r="C629" s="110">
        <v>8890</v>
      </c>
      <c r="D629" s="110">
        <v>26.28003</v>
      </c>
      <c r="E629" s="110">
        <v>7142</v>
      </c>
      <c r="F629" s="110">
        <v>321.02</v>
      </c>
      <c r="G629" s="110">
        <v>0.83672724431104684</v>
      </c>
      <c r="H629" s="110">
        <v>1.5833051160085543</v>
      </c>
      <c r="I629" s="110"/>
      <c r="J629" s="110"/>
      <c r="K629" s="110">
        <v>0.86555781436163559</v>
      </c>
      <c r="L629" s="110">
        <v>1.5390609238856017</v>
      </c>
      <c r="M629" s="110">
        <v>44.957910000000005</v>
      </c>
      <c r="N629" s="110">
        <v>0.78454919999999995</v>
      </c>
      <c r="O629" s="110"/>
      <c r="P629" s="110">
        <v>43.858069999999998</v>
      </c>
      <c r="Q629" s="110"/>
      <c r="R629" s="110"/>
      <c r="S629" s="110"/>
      <c r="T629" s="110"/>
    </row>
    <row r="630" spans="1:20">
      <c r="A630" s="110" t="s">
        <v>44</v>
      </c>
      <c r="B630" s="110" t="s">
        <v>65</v>
      </c>
      <c r="C630" s="110">
        <v>8890</v>
      </c>
      <c r="D630" s="110">
        <v>26.28003</v>
      </c>
      <c r="E630" s="110">
        <v>7142</v>
      </c>
      <c r="F630" s="110">
        <v>321.02</v>
      </c>
      <c r="G630" s="110">
        <v>0.83672724431104684</v>
      </c>
      <c r="H630" s="110">
        <v>1.5833051160085543</v>
      </c>
      <c r="I630" s="110"/>
      <c r="J630" s="110"/>
      <c r="K630" s="110">
        <v>0.86684906653809013</v>
      </c>
      <c r="L630" s="110">
        <v>1.5431919008684842</v>
      </c>
      <c r="M630" s="110">
        <v>41.623849999999997</v>
      </c>
      <c r="N630" s="110">
        <v>0.75128709999999999</v>
      </c>
      <c r="O630" s="110"/>
      <c r="P630" s="110">
        <v>45.768050000000002</v>
      </c>
      <c r="Q630" s="110"/>
      <c r="R630" s="110"/>
      <c r="S630" s="110"/>
      <c r="T630" s="110"/>
    </row>
    <row r="631" spans="1:20">
      <c r="A631" s="110" t="s">
        <v>44</v>
      </c>
      <c r="B631" s="110" t="s">
        <v>65</v>
      </c>
      <c r="C631" s="110">
        <v>8890</v>
      </c>
      <c r="D631" s="110">
        <v>26.28003</v>
      </c>
      <c r="E631" s="110">
        <v>7142</v>
      </c>
      <c r="F631" s="110">
        <v>321.02</v>
      </c>
      <c r="G631" s="110">
        <v>0.83672724431104684</v>
      </c>
      <c r="H631" s="110">
        <v>1.5833051160085543</v>
      </c>
      <c r="I631" s="110"/>
      <c r="J631" s="110"/>
      <c r="K631" s="110">
        <v>0.86670909439498134</v>
      </c>
      <c r="L631" s="110">
        <v>1.5452256286711921</v>
      </c>
      <c r="M631" s="110">
        <v>39.847050000000003</v>
      </c>
      <c r="N631" s="110">
        <v>0.73128499999999996</v>
      </c>
      <c r="O631" s="110"/>
      <c r="P631" s="110">
        <v>46.63843</v>
      </c>
      <c r="Q631" s="110"/>
      <c r="R631" s="110"/>
      <c r="S631" s="110"/>
      <c r="T631" s="110"/>
    </row>
    <row r="632" spans="1:20">
      <c r="A632" s="110" t="s">
        <v>44</v>
      </c>
      <c r="B632" s="110" t="s">
        <v>65</v>
      </c>
      <c r="C632" s="110">
        <v>8890</v>
      </c>
      <c r="D632" s="110">
        <v>26.28003</v>
      </c>
      <c r="E632" s="110">
        <v>7142</v>
      </c>
      <c r="F632" s="110">
        <v>321.02</v>
      </c>
      <c r="G632" s="110">
        <v>0.83672724431104684</v>
      </c>
      <c r="H632" s="110">
        <v>1.5833051160085543</v>
      </c>
      <c r="I632" s="110"/>
      <c r="J632" s="110"/>
      <c r="K632" s="110">
        <v>0.86465316210290655</v>
      </c>
      <c r="L632" s="110">
        <v>1.5490444941175419</v>
      </c>
      <c r="M632" s="110">
        <v>36.268709999999999</v>
      </c>
      <c r="N632" s="110">
        <v>0.68656059999999997</v>
      </c>
      <c r="O632" s="110"/>
      <c r="P632" s="110">
        <v>48.141019999999997</v>
      </c>
      <c r="Q632" s="110"/>
      <c r="R632" s="110"/>
      <c r="S632" s="110"/>
      <c r="T632" s="110"/>
    </row>
    <row r="633" spans="1:20">
      <c r="A633" s="110" t="s">
        <v>44</v>
      </c>
      <c r="B633" s="110" t="s">
        <v>65</v>
      </c>
      <c r="C633" s="110">
        <v>8890</v>
      </c>
      <c r="D633" s="110">
        <v>26.28003</v>
      </c>
      <c r="E633" s="110">
        <v>7142</v>
      </c>
      <c r="F633" s="110">
        <v>321.02</v>
      </c>
      <c r="G633" s="110">
        <v>0.83672724431104684</v>
      </c>
      <c r="H633" s="110">
        <v>1.5833051160085543</v>
      </c>
      <c r="I633" s="110"/>
      <c r="J633" s="110"/>
      <c r="K633" s="110">
        <v>0.86435922794752951</v>
      </c>
      <c r="L633" s="110">
        <v>1.5248877445615843</v>
      </c>
      <c r="M633" s="110">
        <v>34.335140000000003</v>
      </c>
      <c r="N633" s="110">
        <v>0.65997930000000005</v>
      </c>
      <c r="O633" s="110"/>
      <c r="P633" s="110">
        <v>48.830219999999997</v>
      </c>
      <c r="Q633" s="110"/>
      <c r="R633" s="110"/>
      <c r="S633" s="110"/>
      <c r="T633" s="110"/>
    </row>
    <row r="634" spans="1:20">
      <c r="A634" s="110" t="s">
        <v>44</v>
      </c>
      <c r="B634" s="110" t="s">
        <v>65</v>
      </c>
      <c r="C634" s="110">
        <v>8890</v>
      </c>
      <c r="D634" s="110">
        <v>26.28003</v>
      </c>
      <c r="E634" s="110">
        <v>7142</v>
      </c>
      <c r="F634" s="110">
        <v>321.02</v>
      </c>
      <c r="G634" s="110">
        <v>0.83672724431104684</v>
      </c>
      <c r="H634" s="110">
        <v>1.5833051160085543</v>
      </c>
      <c r="I634" s="110"/>
      <c r="J634" s="110"/>
      <c r="K634" s="110">
        <v>0.86688965150816244</v>
      </c>
      <c r="L634" s="110">
        <v>1.5315846208867772</v>
      </c>
      <c r="M634" s="110">
        <v>30.77129</v>
      </c>
      <c r="N634" s="110">
        <v>0.60757119999999998</v>
      </c>
      <c r="O634" s="110"/>
      <c r="P634" s="110">
        <v>49.972020000000001</v>
      </c>
      <c r="Q634" s="110"/>
      <c r="R634" s="110"/>
      <c r="S634" s="110"/>
      <c r="T634" s="110"/>
    </row>
    <row r="635" spans="1:20">
      <c r="A635" s="110" t="s">
        <v>44</v>
      </c>
      <c r="B635" s="110" t="s">
        <v>65</v>
      </c>
      <c r="C635" s="110">
        <v>8890</v>
      </c>
      <c r="D635" s="110">
        <v>26.28003</v>
      </c>
      <c r="E635" s="110">
        <v>7142</v>
      </c>
      <c r="F635" s="110">
        <v>321.02</v>
      </c>
      <c r="G635" s="110">
        <v>0.83672724431104684</v>
      </c>
      <c r="H635" s="110">
        <v>1.5833051160085543</v>
      </c>
      <c r="I635" s="110"/>
      <c r="J635" s="110"/>
      <c r="K635" s="110">
        <v>0.86714766761545337</v>
      </c>
      <c r="L635" s="110">
        <v>1.5346815987947109</v>
      </c>
      <c r="M635" s="110">
        <v>28.609929999999999</v>
      </c>
      <c r="N635" s="110">
        <v>0.57376439999999995</v>
      </c>
      <c r="O635" s="110"/>
      <c r="P635" s="110">
        <v>50.5715</v>
      </c>
      <c r="Q635" s="110"/>
      <c r="R635" s="110"/>
      <c r="S635" s="110"/>
      <c r="T635" s="110"/>
    </row>
    <row r="636" spans="1:20">
      <c r="A636" s="110" t="s">
        <v>44</v>
      </c>
      <c r="B636" s="110" t="s">
        <v>65</v>
      </c>
      <c r="C636" s="110">
        <v>8890</v>
      </c>
      <c r="D636" s="110">
        <v>26.28003</v>
      </c>
      <c r="E636" s="110">
        <v>7142</v>
      </c>
      <c r="F636" s="110">
        <v>321.02</v>
      </c>
      <c r="G636" s="110">
        <v>0.83672724431104684</v>
      </c>
      <c r="H636" s="110">
        <v>1.5833051160085543</v>
      </c>
      <c r="I636" s="110"/>
      <c r="J636" s="110"/>
      <c r="K636" s="110">
        <v>0.86697551872258516</v>
      </c>
      <c r="L636" s="110">
        <v>1.5356841926983236</v>
      </c>
      <c r="M636" s="110">
        <v>27.692070000000001</v>
      </c>
      <c r="N636" s="110">
        <v>0.55900819999999996</v>
      </c>
      <c r="O636" s="110"/>
      <c r="P636" s="110">
        <v>50.807960000000001</v>
      </c>
      <c r="Q636" s="110"/>
      <c r="R636" s="110"/>
      <c r="S636" s="110"/>
      <c r="T636" s="110"/>
    </row>
    <row r="637" spans="1:20">
      <c r="A637" s="110" t="s">
        <v>44</v>
      </c>
      <c r="B637" s="110" t="s">
        <v>65</v>
      </c>
      <c r="C637" s="110">
        <v>8890</v>
      </c>
      <c r="D637" s="110">
        <v>26.28003</v>
      </c>
      <c r="E637" s="110">
        <v>7142</v>
      </c>
      <c r="F637" s="110">
        <v>321.02</v>
      </c>
      <c r="G637" s="110">
        <v>0.83672724431104684</v>
      </c>
      <c r="H637" s="110">
        <v>1.5833051160085543</v>
      </c>
      <c r="I637" s="110"/>
      <c r="J637" s="110"/>
      <c r="K637" s="110">
        <v>0.86684876267978106</v>
      </c>
      <c r="L637" s="110">
        <v>1.5361291816654854</v>
      </c>
      <c r="M637" s="110">
        <v>27.288919999999997</v>
      </c>
      <c r="N637" s="110">
        <v>0.55244649999999995</v>
      </c>
      <c r="O637" s="110"/>
      <c r="P637" s="110">
        <v>50.909739999999999</v>
      </c>
      <c r="Q637" s="110"/>
      <c r="R637" s="110"/>
      <c r="S637" s="110"/>
      <c r="T637" s="110"/>
    </row>
    <row r="638" spans="1:20">
      <c r="A638" s="110" t="s">
        <v>44</v>
      </c>
      <c r="B638" s="110" t="s">
        <v>65</v>
      </c>
      <c r="C638" s="110">
        <v>8890</v>
      </c>
      <c r="D638" s="110">
        <v>26.28003</v>
      </c>
      <c r="E638" s="110">
        <v>7142</v>
      </c>
      <c r="F638" s="110">
        <v>321.02</v>
      </c>
      <c r="G638" s="110">
        <v>0.83672724431104684</v>
      </c>
      <c r="H638" s="110">
        <v>1.5833051160085543</v>
      </c>
      <c r="I638" s="110"/>
      <c r="J638" s="110"/>
      <c r="K638" s="110">
        <v>0.8667742992137768</v>
      </c>
      <c r="L638" s="110">
        <v>1.5363515103270606</v>
      </c>
      <c r="M638" s="110">
        <v>27.08869</v>
      </c>
      <c r="N638" s="110">
        <v>0.54916860000000001</v>
      </c>
      <c r="O638" s="110"/>
      <c r="P638" s="110">
        <v>50.959780000000002</v>
      </c>
      <c r="Q638" s="110"/>
      <c r="R638" s="110"/>
      <c r="S638" s="110"/>
      <c r="T638" s="110"/>
    </row>
    <row r="639" spans="1:20">
      <c r="A639" s="110" t="s">
        <v>44</v>
      </c>
      <c r="B639" s="110" t="s">
        <v>66</v>
      </c>
      <c r="C639" s="110">
        <v>13335</v>
      </c>
      <c r="D639" s="110">
        <v>26.900020000000001</v>
      </c>
      <c r="E639" s="110">
        <v>7142</v>
      </c>
      <c r="F639" s="110">
        <v>320.54000000000002</v>
      </c>
      <c r="G639" s="110">
        <v>0.82329195023842039</v>
      </c>
      <c r="H639" s="110">
        <v>1.598933670701115</v>
      </c>
      <c r="I639" s="110">
        <v>26000.59</v>
      </c>
      <c r="J639" s="110">
        <v>440.4033</v>
      </c>
      <c r="K639" s="110">
        <v>0.9635564746163312</v>
      </c>
      <c r="L639" s="110">
        <v>1.4843479817765868</v>
      </c>
      <c r="M639" s="110"/>
      <c r="N639" s="110"/>
      <c r="O639" s="110"/>
      <c r="P639" s="110"/>
      <c r="Q639" s="110">
        <v>2304.3535199999997</v>
      </c>
      <c r="R639" s="110"/>
      <c r="S639" s="110"/>
      <c r="T639" s="110"/>
    </row>
    <row r="640" spans="1:20">
      <c r="A640" s="110" t="s">
        <v>44</v>
      </c>
      <c r="B640" s="110" t="s">
        <v>66</v>
      </c>
      <c r="C640" s="110">
        <v>13335</v>
      </c>
      <c r="D640" s="110">
        <v>26.900020000000001</v>
      </c>
      <c r="E640" s="110">
        <v>7142</v>
      </c>
      <c r="F640" s="110">
        <v>320.54000000000002</v>
      </c>
      <c r="G640" s="110">
        <v>0.82329195023842039</v>
      </c>
      <c r="H640" s="110">
        <v>1.598933670701115</v>
      </c>
      <c r="I640" s="110">
        <v>25977.440000000002</v>
      </c>
      <c r="J640" s="110">
        <v>440.2559</v>
      </c>
      <c r="K640" s="110">
        <v>0.96322353019329776</v>
      </c>
      <c r="L640" s="110">
        <v>1.4844764601192482</v>
      </c>
      <c r="M640" s="110"/>
      <c r="N640" s="110"/>
      <c r="O640" s="110"/>
      <c r="P640" s="110"/>
      <c r="Q640" s="110">
        <v>2315.8587600000001</v>
      </c>
      <c r="R640" s="110"/>
      <c r="S640" s="110"/>
      <c r="T640" s="110"/>
    </row>
    <row r="641" spans="1:20">
      <c r="A641" s="110" t="s">
        <v>44</v>
      </c>
      <c r="B641" s="110" t="s">
        <v>66</v>
      </c>
      <c r="C641" s="110">
        <v>13335</v>
      </c>
      <c r="D641" s="110">
        <v>26.900020000000001</v>
      </c>
      <c r="E641" s="110">
        <v>7142</v>
      </c>
      <c r="F641" s="110">
        <v>320.54000000000002</v>
      </c>
      <c r="G641" s="110">
        <v>0.82329195023842039</v>
      </c>
      <c r="H641" s="110">
        <v>1.598933670701115</v>
      </c>
      <c r="I641" s="110">
        <v>25767.66</v>
      </c>
      <c r="J641" s="110">
        <v>438.99259999999998</v>
      </c>
      <c r="K641" s="110">
        <v>0.96022382640321891</v>
      </c>
      <c r="L641" s="110">
        <v>1.4854495529241327</v>
      </c>
      <c r="M641" s="110"/>
      <c r="N641" s="110"/>
      <c r="O641" s="110"/>
      <c r="P641" s="110"/>
      <c r="Q641" s="110">
        <v>2411.69832</v>
      </c>
      <c r="R641" s="110"/>
      <c r="S641" s="110"/>
      <c r="T641" s="110"/>
    </row>
    <row r="642" spans="1:20">
      <c r="A642" s="110" t="s">
        <v>44</v>
      </c>
      <c r="B642" s="110" t="s">
        <v>66</v>
      </c>
      <c r="C642" s="110">
        <v>13335</v>
      </c>
      <c r="D642" s="110">
        <v>26.900020000000001</v>
      </c>
      <c r="E642" s="110">
        <v>7142</v>
      </c>
      <c r="F642" s="110">
        <v>320.54000000000002</v>
      </c>
      <c r="G642" s="110">
        <v>0.82329195023842039</v>
      </c>
      <c r="H642" s="110">
        <v>1.598933670701115</v>
      </c>
      <c r="I642" s="110">
        <v>25617.98</v>
      </c>
      <c r="J642" s="110">
        <v>438.16180000000003</v>
      </c>
      <c r="K642" s="110">
        <v>0.95809373917722418</v>
      </c>
      <c r="L642" s="110">
        <v>1.4859585626347849</v>
      </c>
      <c r="M642" s="110"/>
      <c r="N642" s="110"/>
      <c r="O642" s="110"/>
      <c r="P642" s="110"/>
      <c r="Q642" s="110">
        <v>2470.4125200000003</v>
      </c>
      <c r="R642" s="110"/>
      <c r="S642" s="110"/>
      <c r="T642" s="110"/>
    </row>
    <row r="643" spans="1:20">
      <c r="A643" s="110" t="s">
        <v>44</v>
      </c>
      <c r="B643" s="110" t="s">
        <v>66</v>
      </c>
      <c r="C643" s="110">
        <v>13335</v>
      </c>
      <c r="D643" s="110">
        <v>26.900020000000001</v>
      </c>
      <c r="E643" s="110">
        <v>7142</v>
      </c>
      <c r="F643" s="110">
        <v>320.54000000000002</v>
      </c>
      <c r="G643" s="110">
        <v>0.82329195023842039</v>
      </c>
      <c r="H643" s="110">
        <v>1.598933670701115</v>
      </c>
      <c r="I643" s="110">
        <v>25054.86</v>
      </c>
      <c r="J643" s="110">
        <v>435.35950000000003</v>
      </c>
      <c r="K643" s="110">
        <v>0.95438799774066385</v>
      </c>
      <c r="L643" s="110">
        <v>1.5035611659568333</v>
      </c>
      <c r="M643" s="110"/>
      <c r="N643" s="110"/>
      <c r="O643" s="110"/>
      <c r="P643" s="110"/>
      <c r="Q643" s="110">
        <v>2665.70604</v>
      </c>
      <c r="R643" s="110"/>
      <c r="S643" s="110"/>
      <c r="T643" s="110"/>
    </row>
    <row r="644" spans="1:20">
      <c r="A644" s="110" t="s">
        <v>44</v>
      </c>
      <c r="B644" s="110" t="s">
        <v>66</v>
      </c>
      <c r="C644" s="110">
        <v>13335</v>
      </c>
      <c r="D644" s="110">
        <v>26.900020000000001</v>
      </c>
      <c r="E644" s="110">
        <v>7142</v>
      </c>
      <c r="F644" s="110">
        <v>320.54000000000002</v>
      </c>
      <c r="G644" s="110">
        <v>0.82329195023842039</v>
      </c>
      <c r="H644" s="110">
        <v>1.598933670701115</v>
      </c>
      <c r="I644" s="110">
        <v>24123.360000000001</v>
      </c>
      <c r="J644" s="110">
        <v>431.4597</v>
      </c>
      <c r="K644" s="110">
        <v>0.94714908970270373</v>
      </c>
      <c r="L644" s="110">
        <v>1.5045421135776802</v>
      </c>
      <c r="M644" s="110"/>
      <c r="N644" s="110"/>
      <c r="O644" s="110"/>
      <c r="P644" s="110"/>
      <c r="Q644" s="110">
        <v>2921.9634000000001</v>
      </c>
      <c r="R644" s="110"/>
      <c r="S644" s="110"/>
      <c r="T644" s="110"/>
    </row>
    <row r="645" spans="1:20">
      <c r="A645" s="110" t="s">
        <v>44</v>
      </c>
      <c r="B645" s="110" t="s">
        <v>66</v>
      </c>
      <c r="C645" s="110">
        <v>13335</v>
      </c>
      <c r="D645" s="110">
        <v>26.900020000000001</v>
      </c>
      <c r="E645" s="110">
        <v>7142</v>
      </c>
      <c r="F645" s="110">
        <v>320.54000000000002</v>
      </c>
      <c r="G645" s="110">
        <v>0.82329195023842039</v>
      </c>
      <c r="H645" s="110">
        <v>1.598933670701115</v>
      </c>
      <c r="I645" s="110">
        <v>23664.45</v>
      </c>
      <c r="J645" s="110">
        <v>429.67020000000002</v>
      </c>
      <c r="K645" s="110">
        <v>0.94276426701176808</v>
      </c>
      <c r="L645" s="110">
        <v>1.5039364849399224</v>
      </c>
      <c r="M645" s="110"/>
      <c r="N645" s="110"/>
      <c r="O645" s="110"/>
      <c r="P645" s="110"/>
      <c r="Q645" s="110">
        <v>3029.60988</v>
      </c>
      <c r="R645" s="110"/>
      <c r="S645" s="110"/>
      <c r="T645" s="110"/>
    </row>
    <row r="646" spans="1:20">
      <c r="A646" s="110" t="s">
        <v>44</v>
      </c>
      <c r="B646" s="110" t="s">
        <v>66</v>
      </c>
      <c r="C646" s="110">
        <v>13335</v>
      </c>
      <c r="D646" s="110">
        <v>26.900020000000001</v>
      </c>
      <c r="E646" s="110">
        <v>7142</v>
      </c>
      <c r="F646" s="110">
        <v>320.54000000000002</v>
      </c>
      <c r="G646" s="110">
        <v>0.82329195023842039</v>
      </c>
      <c r="H646" s="110">
        <v>1.598933670701115</v>
      </c>
      <c r="I646" s="110">
        <v>23431.100000000002</v>
      </c>
      <c r="J646" s="110">
        <v>428.7944</v>
      </c>
      <c r="K646" s="110">
        <v>0.9403321990184913</v>
      </c>
      <c r="L646" s="110">
        <v>1.5034860842882432</v>
      </c>
      <c r="M646" s="110"/>
      <c r="N646" s="110"/>
      <c r="O646" s="110"/>
      <c r="P646" s="110"/>
      <c r="Q646" s="110">
        <v>3077.5644000000002</v>
      </c>
      <c r="R646" s="110"/>
      <c r="S646" s="110"/>
      <c r="T646" s="110"/>
    </row>
    <row r="647" spans="1:20">
      <c r="A647" s="110" t="s">
        <v>44</v>
      </c>
      <c r="B647" s="110" t="s">
        <v>66</v>
      </c>
      <c r="C647" s="110">
        <v>13335</v>
      </c>
      <c r="D647" s="110">
        <v>26.900020000000001</v>
      </c>
      <c r="E647" s="110">
        <v>7142</v>
      </c>
      <c r="F647" s="110">
        <v>320.54000000000002</v>
      </c>
      <c r="G647" s="110">
        <v>0.82329195023842039</v>
      </c>
      <c r="H647" s="110">
        <v>1.598933670701115</v>
      </c>
      <c r="I647" s="110">
        <v>22903.07</v>
      </c>
      <c r="J647" s="110">
        <v>426.88200000000001</v>
      </c>
      <c r="K647" s="110">
        <v>0.93431232098507833</v>
      </c>
      <c r="L647" s="110">
        <v>1.5021502348925062</v>
      </c>
      <c r="M647" s="110"/>
      <c r="N647" s="110"/>
      <c r="O647" s="110"/>
      <c r="P647" s="110"/>
      <c r="Q647" s="110">
        <v>3174.6286800000003</v>
      </c>
      <c r="R647" s="110"/>
      <c r="S647" s="110"/>
      <c r="T647" s="110"/>
    </row>
    <row r="648" spans="1:20">
      <c r="A648" s="110" t="s">
        <v>44</v>
      </c>
      <c r="B648" s="110" t="s">
        <v>66</v>
      </c>
      <c r="C648" s="110">
        <v>13335</v>
      </c>
      <c r="D648" s="110">
        <v>26.900020000000001</v>
      </c>
      <c r="E648" s="110">
        <v>7142</v>
      </c>
      <c r="F648" s="110">
        <v>320.54000000000002</v>
      </c>
      <c r="G648" s="110">
        <v>0.82329195023842039</v>
      </c>
      <c r="H648" s="110">
        <v>1.598933670701115</v>
      </c>
      <c r="I648" s="110">
        <v>22572.23</v>
      </c>
      <c r="J648" s="110">
        <v>425.72320000000002</v>
      </c>
      <c r="K648" s="110">
        <v>0.93319666362133269</v>
      </c>
      <c r="L648" s="110">
        <v>1.5149581494676658</v>
      </c>
      <c r="M648" s="110"/>
      <c r="N648" s="110"/>
      <c r="O648" s="110"/>
      <c r="P648" s="110"/>
      <c r="Q648" s="110">
        <v>3228.6610799999999</v>
      </c>
      <c r="R648" s="110"/>
      <c r="S648" s="110"/>
      <c r="T648" s="110"/>
    </row>
    <row r="649" spans="1:20">
      <c r="A649" s="110" t="s">
        <v>44</v>
      </c>
      <c r="B649" s="110" t="s">
        <v>66</v>
      </c>
      <c r="C649" s="110">
        <v>13335</v>
      </c>
      <c r="D649" s="110">
        <v>26.900020000000001</v>
      </c>
      <c r="E649" s="110">
        <v>7142</v>
      </c>
      <c r="F649" s="110">
        <v>320.54000000000002</v>
      </c>
      <c r="G649" s="110">
        <v>0.82329195023842039</v>
      </c>
      <c r="H649" s="110">
        <v>1.598933670701115</v>
      </c>
      <c r="I649" s="110">
        <v>21549.510000000002</v>
      </c>
      <c r="J649" s="110">
        <v>422.28410000000002</v>
      </c>
      <c r="K649" s="110">
        <v>0.92746506141201368</v>
      </c>
      <c r="L649" s="110">
        <v>1.5135871246252435</v>
      </c>
      <c r="M649" s="110"/>
      <c r="N649" s="110"/>
      <c r="O649" s="110"/>
      <c r="P649" s="110"/>
      <c r="Q649" s="110">
        <v>3374.5608000000002</v>
      </c>
      <c r="R649" s="110"/>
      <c r="S649" s="110"/>
      <c r="T649" s="110"/>
    </row>
    <row r="650" spans="1:20">
      <c r="A650" s="110" t="s">
        <v>44</v>
      </c>
      <c r="B650" s="110" t="s">
        <v>66</v>
      </c>
      <c r="C650" s="110">
        <v>13335</v>
      </c>
      <c r="D650" s="110">
        <v>26.900020000000001</v>
      </c>
      <c r="E650" s="110">
        <v>7142</v>
      </c>
      <c r="F650" s="110">
        <v>320.54000000000002</v>
      </c>
      <c r="G650" s="110">
        <v>0.82329195023842039</v>
      </c>
      <c r="H650" s="110">
        <v>1.598933670701115</v>
      </c>
      <c r="I650" s="110">
        <v>20902.3</v>
      </c>
      <c r="J650" s="110">
        <v>420.22179999999997</v>
      </c>
      <c r="K650" s="110">
        <v>0.92195113141835472</v>
      </c>
      <c r="L650" s="110">
        <v>1.5116717631147678</v>
      </c>
      <c r="M650" s="110"/>
      <c r="N650" s="110"/>
      <c r="O650" s="110"/>
      <c r="P650" s="110"/>
      <c r="Q650" s="110">
        <v>3447.2300399999999</v>
      </c>
      <c r="R650" s="110"/>
      <c r="S650" s="110"/>
      <c r="T650" s="110"/>
    </row>
    <row r="651" spans="1:20">
      <c r="A651" s="110" t="s">
        <v>44</v>
      </c>
      <c r="B651" s="110" t="s">
        <v>66</v>
      </c>
      <c r="C651" s="110">
        <v>13335</v>
      </c>
      <c r="D651" s="110">
        <v>26.900020000000001</v>
      </c>
      <c r="E651" s="110">
        <v>7142</v>
      </c>
      <c r="F651" s="110">
        <v>320.54000000000002</v>
      </c>
      <c r="G651" s="110">
        <v>0.82329195023842039</v>
      </c>
      <c r="H651" s="110">
        <v>1.598933670701115</v>
      </c>
      <c r="I651" s="110">
        <v>19697.39</v>
      </c>
      <c r="J651" s="110">
        <v>416.42439999999999</v>
      </c>
      <c r="K651" s="110">
        <v>0.91579657366106881</v>
      </c>
      <c r="L651" s="110">
        <v>1.5152565728208571</v>
      </c>
      <c r="M651" s="110"/>
      <c r="N651" s="110"/>
      <c r="O651" s="110"/>
      <c r="P651" s="110"/>
      <c r="Q651" s="110">
        <v>3554.4887999999996</v>
      </c>
      <c r="R651" s="110"/>
      <c r="S651" s="110"/>
      <c r="T651" s="110"/>
    </row>
    <row r="652" spans="1:20">
      <c r="A652" s="110" t="s">
        <v>44</v>
      </c>
      <c r="B652" s="110" t="s">
        <v>66</v>
      </c>
      <c r="C652" s="110">
        <v>13335</v>
      </c>
      <c r="D652" s="110">
        <v>26.900020000000001</v>
      </c>
      <c r="E652" s="110">
        <v>7142</v>
      </c>
      <c r="F652" s="110">
        <v>320.54000000000002</v>
      </c>
      <c r="G652" s="110">
        <v>0.82329195023842039</v>
      </c>
      <c r="H652" s="110">
        <v>1.598933670701115</v>
      </c>
      <c r="I652" s="110">
        <v>19058.02</v>
      </c>
      <c r="J652" s="110">
        <v>414.44349999999997</v>
      </c>
      <c r="K652" s="110">
        <v>0.91220318985312154</v>
      </c>
      <c r="L652" s="110">
        <v>1.5135668018456347</v>
      </c>
      <c r="M652" s="110"/>
      <c r="N652" s="110"/>
      <c r="O652" s="110"/>
      <c r="P652" s="110"/>
      <c r="Q652" s="110">
        <v>3599.4740400000001</v>
      </c>
      <c r="R652" s="110"/>
      <c r="S652" s="110"/>
      <c r="T652" s="110"/>
    </row>
    <row r="653" spans="1:20">
      <c r="A653" s="110" t="s">
        <v>44</v>
      </c>
      <c r="B653" s="110" t="s">
        <v>66</v>
      </c>
      <c r="C653" s="110">
        <v>13335</v>
      </c>
      <c r="D653" s="110">
        <v>26.900020000000001</v>
      </c>
      <c r="E653" s="110">
        <v>7142</v>
      </c>
      <c r="F653" s="110">
        <v>320.54000000000002</v>
      </c>
      <c r="G653" s="110">
        <v>0.82329195023842039</v>
      </c>
      <c r="H653" s="110">
        <v>1.598933670701115</v>
      </c>
      <c r="I653" s="110">
        <v>17789.63</v>
      </c>
      <c r="J653" s="110">
        <v>410.58710000000002</v>
      </c>
      <c r="K653" s="110">
        <v>0.90569536452412014</v>
      </c>
      <c r="L653" s="110">
        <v>1.5099792109644794</v>
      </c>
      <c r="M653" s="110"/>
      <c r="N653" s="110"/>
      <c r="O653" s="110"/>
      <c r="P653" s="110"/>
      <c r="Q653" s="110">
        <v>3669.2351999999996</v>
      </c>
      <c r="R653" s="110"/>
      <c r="S653" s="110"/>
      <c r="T653" s="110"/>
    </row>
    <row r="654" spans="1:20">
      <c r="A654" s="110" t="s">
        <v>44</v>
      </c>
      <c r="B654" s="110" t="s">
        <v>66</v>
      </c>
      <c r="C654" s="110">
        <v>13335</v>
      </c>
      <c r="D654" s="110">
        <v>26.900020000000001</v>
      </c>
      <c r="E654" s="110">
        <v>7142</v>
      </c>
      <c r="F654" s="110">
        <v>320.54000000000002</v>
      </c>
      <c r="G654" s="110">
        <v>0.82329195023842039</v>
      </c>
      <c r="H654" s="110">
        <v>1.598933670701115</v>
      </c>
      <c r="I654" s="110">
        <v>17263.189999999999</v>
      </c>
      <c r="J654" s="110">
        <v>408.9289</v>
      </c>
      <c r="K654" s="110">
        <v>0.90404978337893904</v>
      </c>
      <c r="L654" s="110">
        <v>1.5088114139545676</v>
      </c>
      <c r="M654" s="110"/>
      <c r="N654" s="110"/>
      <c r="O654" s="110"/>
      <c r="P654" s="110"/>
      <c r="Q654" s="110">
        <v>3696.3431999999998</v>
      </c>
      <c r="R654" s="110"/>
      <c r="S654" s="110"/>
      <c r="T654" s="110"/>
    </row>
    <row r="655" spans="1:20">
      <c r="A655" s="110" t="s">
        <v>44</v>
      </c>
      <c r="B655" s="110" t="s">
        <v>66</v>
      </c>
      <c r="C655" s="110">
        <v>13335</v>
      </c>
      <c r="D655" s="110">
        <v>26.900020000000001</v>
      </c>
      <c r="E655" s="110">
        <v>7142</v>
      </c>
      <c r="F655" s="110">
        <v>320.54000000000002</v>
      </c>
      <c r="G655" s="110">
        <v>0.82329195023842039</v>
      </c>
      <c r="H655" s="110">
        <v>1.598933670701115</v>
      </c>
      <c r="I655" s="110">
        <v>15943.89</v>
      </c>
      <c r="J655" s="110">
        <v>404.6069</v>
      </c>
      <c r="K655" s="110">
        <v>0.89832732477084787</v>
      </c>
      <c r="L655" s="110">
        <v>1.5030256458695701</v>
      </c>
      <c r="M655" s="110"/>
      <c r="N655" s="110"/>
      <c r="O655" s="110"/>
      <c r="P655" s="110"/>
      <c r="Q655" s="110">
        <v>3756.8268000000003</v>
      </c>
      <c r="R655" s="110"/>
      <c r="S655" s="110"/>
      <c r="T655" s="110"/>
    </row>
    <row r="656" spans="1:20">
      <c r="A656" s="110" t="s">
        <v>44</v>
      </c>
      <c r="B656" s="110" t="s">
        <v>66</v>
      </c>
      <c r="C656" s="110">
        <v>13335</v>
      </c>
      <c r="D656" s="110">
        <v>26.900020000000001</v>
      </c>
      <c r="E656" s="110">
        <v>7142</v>
      </c>
      <c r="F656" s="110">
        <v>320.54000000000002</v>
      </c>
      <c r="G656" s="110">
        <v>0.82329195023842039</v>
      </c>
      <c r="H656" s="110">
        <v>1.598933670701115</v>
      </c>
      <c r="I656" s="110">
        <v>15240.22</v>
      </c>
      <c r="J656" s="110">
        <v>402.2679</v>
      </c>
      <c r="K656" s="110">
        <v>0.89656447648832938</v>
      </c>
      <c r="L656" s="110">
        <v>1.5027159350164025</v>
      </c>
      <c r="M656" s="110"/>
      <c r="N656" s="110"/>
      <c r="O656" s="110"/>
      <c r="P656" s="110"/>
      <c r="Q656" s="110">
        <v>3782.1456000000003</v>
      </c>
      <c r="R656" s="110"/>
      <c r="S656" s="110"/>
      <c r="T656" s="110"/>
    </row>
    <row r="657" spans="1:20">
      <c r="A657" s="110" t="s">
        <v>44</v>
      </c>
      <c r="B657" s="110" t="s">
        <v>66</v>
      </c>
      <c r="C657" s="110">
        <v>13335</v>
      </c>
      <c r="D657" s="110">
        <v>26.900020000000001</v>
      </c>
      <c r="E657" s="110">
        <v>7142</v>
      </c>
      <c r="F657" s="110">
        <v>320.54000000000002</v>
      </c>
      <c r="G657" s="110">
        <v>0.82329195023842039</v>
      </c>
      <c r="H657" s="110">
        <v>1.598933670701115</v>
      </c>
      <c r="I657" s="110">
        <v>14074.42</v>
      </c>
      <c r="J657" s="110">
        <v>398.29950000000002</v>
      </c>
      <c r="K657" s="110">
        <v>0.89400633748661706</v>
      </c>
      <c r="L657" s="110">
        <v>1.491146113991672</v>
      </c>
      <c r="M657" s="110"/>
      <c r="N657" s="110"/>
      <c r="O657" s="110"/>
      <c r="P657" s="110"/>
      <c r="Q657" s="110">
        <v>3817.5336000000002</v>
      </c>
      <c r="R657" s="110"/>
      <c r="S657" s="110"/>
      <c r="T657" s="110"/>
    </row>
    <row r="658" spans="1:20">
      <c r="A658" s="110" t="s">
        <v>44</v>
      </c>
      <c r="B658" s="110" t="s">
        <v>66</v>
      </c>
      <c r="C658" s="110">
        <v>12700</v>
      </c>
      <c r="D658" s="110">
        <v>26.900020000000001</v>
      </c>
      <c r="E658" s="110">
        <v>7142</v>
      </c>
      <c r="F658" s="110">
        <v>320.54000000000002</v>
      </c>
      <c r="G658" s="110">
        <v>0.82329195023842039</v>
      </c>
      <c r="H658" s="110">
        <v>1.598933670701115</v>
      </c>
      <c r="I658" s="110">
        <v>23700.78</v>
      </c>
      <c r="J658" s="110">
        <v>431.70650000000001</v>
      </c>
      <c r="K658" s="110">
        <v>0.94545156412377362</v>
      </c>
      <c r="L658" s="110">
        <v>1.4992877008215013</v>
      </c>
      <c r="M658" s="110"/>
      <c r="N658" s="110"/>
      <c r="O658" s="110"/>
      <c r="P658" s="110"/>
      <c r="Q658" s="110">
        <v>2084.8204799999999</v>
      </c>
      <c r="R658" s="110"/>
      <c r="S658" s="110"/>
      <c r="T658" s="110"/>
    </row>
    <row r="659" spans="1:20">
      <c r="A659" s="110" t="s">
        <v>44</v>
      </c>
      <c r="B659" s="110" t="s">
        <v>66</v>
      </c>
      <c r="C659" s="110">
        <v>12700</v>
      </c>
      <c r="D659" s="110">
        <v>26.900020000000001</v>
      </c>
      <c r="E659" s="110">
        <v>7142</v>
      </c>
      <c r="F659" s="110">
        <v>320.54000000000002</v>
      </c>
      <c r="G659" s="110">
        <v>0.82329195023842039</v>
      </c>
      <c r="H659" s="110">
        <v>1.598933670701115</v>
      </c>
      <c r="I659" s="110">
        <v>23615.21</v>
      </c>
      <c r="J659" s="110">
        <v>431.1354</v>
      </c>
      <c r="K659" s="110">
        <v>0.94428723947430637</v>
      </c>
      <c r="L659" s="110">
        <v>1.4998651948513593</v>
      </c>
      <c r="M659" s="110"/>
      <c r="N659" s="110"/>
      <c r="O659" s="110"/>
      <c r="P659" s="110"/>
      <c r="Q659" s="110">
        <v>2129.2102800000002</v>
      </c>
      <c r="R659" s="110"/>
      <c r="S659" s="110"/>
      <c r="T659" s="110"/>
    </row>
    <row r="660" spans="1:20">
      <c r="A660" s="110" t="s">
        <v>44</v>
      </c>
      <c r="B660" s="110" t="s">
        <v>66</v>
      </c>
      <c r="C660" s="110">
        <v>12700</v>
      </c>
      <c r="D660" s="110">
        <v>26.900020000000001</v>
      </c>
      <c r="E660" s="110">
        <v>7142</v>
      </c>
      <c r="F660" s="110">
        <v>320.54000000000002</v>
      </c>
      <c r="G660" s="110">
        <v>0.82329195023842039</v>
      </c>
      <c r="H660" s="110">
        <v>1.598933670701115</v>
      </c>
      <c r="I660" s="110">
        <v>23373.35</v>
      </c>
      <c r="J660" s="110">
        <v>429.6121</v>
      </c>
      <c r="K660" s="110">
        <v>0.94098101851552785</v>
      </c>
      <c r="L660" s="110">
        <v>1.5011773847362604</v>
      </c>
      <c r="M660" s="110"/>
      <c r="N660" s="110"/>
      <c r="O660" s="110"/>
      <c r="P660" s="110"/>
      <c r="Q660" s="110">
        <v>2242.96632</v>
      </c>
      <c r="R660" s="110"/>
      <c r="S660" s="110"/>
      <c r="T660" s="110"/>
    </row>
    <row r="661" spans="1:20">
      <c r="A661" s="110" t="s">
        <v>44</v>
      </c>
      <c r="B661" s="110" t="s">
        <v>66</v>
      </c>
      <c r="C661" s="110">
        <v>12700</v>
      </c>
      <c r="D661" s="110">
        <v>26.900020000000001</v>
      </c>
      <c r="E661" s="110">
        <v>7142</v>
      </c>
      <c r="F661" s="110">
        <v>320.54000000000002</v>
      </c>
      <c r="G661" s="110">
        <v>0.82329195023842039</v>
      </c>
      <c r="H661" s="110">
        <v>1.598933670701115</v>
      </c>
      <c r="I661" s="110">
        <v>22872.1</v>
      </c>
      <c r="J661" s="110">
        <v>426.7912</v>
      </c>
      <c r="K661" s="110">
        <v>0.93417118933480081</v>
      </c>
      <c r="L661" s="110">
        <v>1.5149434390987306</v>
      </c>
      <c r="M661" s="110"/>
      <c r="N661" s="110"/>
      <c r="O661" s="110"/>
      <c r="P661" s="110"/>
      <c r="Q661" s="110">
        <v>2433.67128</v>
      </c>
      <c r="R661" s="110"/>
      <c r="S661" s="110"/>
      <c r="T661" s="110"/>
    </row>
    <row r="662" spans="1:20">
      <c r="A662" s="110" t="s">
        <v>44</v>
      </c>
      <c r="B662" s="110" t="s">
        <v>66</v>
      </c>
      <c r="C662" s="110">
        <v>12700</v>
      </c>
      <c r="D662" s="110">
        <v>26.900020000000001</v>
      </c>
      <c r="E662" s="110">
        <v>7142</v>
      </c>
      <c r="F662" s="110">
        <v>320.54000000000002</v>
      </c>
      <c r="G662" s="110">
        <v>0.82329195023842039</v>
      </c>
      <c r="H662" s="110">
        <v>1.598933670701115</v>
      </c>
      <c r="I662" s="110">
        <v>22061.19</v>
      </c>
      <c r="J662" s="110">
        <v>422.97109999999998</v>
      </c>
      <c r="K662" s="110">
        <v>0.92945472970527987</v>
      </c>
      <c r="L662" s="110">
        <v>1.5173700786030397</v>
      </c>
      <c r="M662" s="110"/>
      <c r="N662" s="110"/>
      <c r="O662" s="110"/>
      <c r="P662" s="110"/>
      <c r="Q662" s="110">
        <v>2687.92452</v>
      </c>
      <c r="R662" s="110"/>
      <c r="S662" s="110"/>
      <c r="T662" s="110"/>
    </row>
    <row r="663" spans="1:20">
      <c r="A663" s="110" t="s">
        <v>44</v>
      </c>
      <c r="B663" s="110" t="s">
        <v>66</v>
      </c>
      <c r="C663" s="110">
        <v>12700</v>
      </c>
      <c r="D663" s="110">
        <v>26.900020000000001</v>
      </c>
      <c r="E663" s="110">
        <v>7142</v>
      </c>
      <c r="F663" s="110">
        <v>320.54000000000002</v>
      </c>
      <c r="G663" s="110">
        <v>0.82329195023842039</v>
      </c>
      <c r="H663" s="110">
        <v>1.598933670701115</v>
      </c>
      <c r="I663" s="110">
        <v>21651.49</v>
      </c>
      <c r="J663" s="110">
        <v>421.23910000000001</v>
      </c>
      <c r="K663" s="110">
        <v>0.92635563166233126</v>
      </c>
      <c r="L663" s="110">
        <v>1.5175826492741022</v>
      </c>
      <c r="M663" s="110"/>
      <c r="N663" s="110"/>
      <c r="O663" s="110"/>
      <c r="P663" s="110"/>
      <c r="Q663" s="110">
        <v>2791.97388</v>
      </c>
      <c r="R663" s="110"/>
      <c r="S663" s="110"/>
      <c r="T663" s="110"/>
    </row>
    <row r="664" spans="1:20">
      <c r="A664" s="110" t="s">
        <v>44</v>
      </c>
      <c r="B664" s="110" t="s">
        <v>66</v>
      </c>
      <c r="C664" s="110">
        <v>12700</v>
      </c>
      <c r="D664" s="110">
        <v>26.900020000000001</v>
      </c>
      <c r="E664" s="110">
        <v>7142</v>
      </c>
      <c r="F664" s="110">
        <v>320.54000000000002</v>
      </c>
      <c r="G664" s="110">
        <v>0.82329195023842039</v>
      </c>
      <c r="H664" s="110">
        <v>1.598933670701115</v>
      </c>
      <c r="I664" s="110">
        <v>21620.14</v>
      </c>
      <c r="J664" s="110">
        <v>421.11040000000003</v>
      </c>
      <c r="K664" s="110">
        <v>0.92609726388766234</v>
      </c>
      <c r="L664" s="110">
        <v>1.5175842198848355</v>
      </c>
      <c r="M664" s="110"/>
      <c r="N664" s="110"/>
      <c r="O664" s="110"/>
      <c r="P664" s="110"/>
      <c r="Q664" s="110">
        <v>2799.27792</v>
      </c>
      <c r="R664" s="110"/>
      <c r="S664" s="110"/>
      <c r="T664" s="110"/>
    </row>
    <row r="665" spans="1:20">
      <c r="A665" s="110" t="s">
        <v>44</v>
      </c>
      <c r="B665" s="110" t="s">
        <v>66</v>
      </c>
      <c r="C665" s="110">
        <v>12700</v>
      </c>
      <c r="D665" s="110">
        <v>26.900020000000001</v>
      </c>
      <c r="E665" s="110">
        <v>7142</v>
      </c>
      <c r="F665" s="110">
        <v>320.54000000000002</v>
      </c>
      <c r="G665" s="110">
        <v>0.82329195023842039</v>
      </c>
      <c r="H665" s="110">
        <v>1.598933670701115</v>
      </c>
      <c r="I665" s="110">
        <v>21572.34</v>
      </c>
      <c r="J665" s="110">
        <v>420.91489999999999</v>
      </c>
      <c r="K665" s="110">
        <v>0.92569712419927985</v>
      </c>
      <c r="L665" s="110">
        <v>1.517583224460185</v>
      </c>
      <c r="M665" s="110"/>
      <c r="N665" s="110"/>
      <c r="O665" s="110"/>
      <c r="P665" s="110"/>
      <c r="Q665" s="110">
        <v>2810.22588</v>
      </c>
      <c r="R665" s="110"/>
      <c r="S665" s="110"/>
      <c r="T665" s="110"/>
    </row>
    <row r="666" spans="1:20">
      <c r="A666" s="110" t="s">
        <v>44</v>
      </c>
      <c r="B666" s="110" t="s">
        <v>66</v>
      </c>
      <c r="C666" s="110">
        <v>12700</v>
      </c>
      <c r="D666" s="110">
        <v>26.900020000000001</v>
      </c>
      <c r="E666" s="110">
        <v>7142</v>
      </c>
      <c r="F666" s="110">
        <v>320.54000000000002</v>
      </c>
      <c r="G666" s="110">
        <v>0.82329195023842039</v>
      </c>
      <c r="H666" s="110">
        <v>1.598933670701115</v>
      </c>
      <c r="I666" s="110">
        <v>20996.48</v>
      </c>
      <c r="J666" s="110">
        <v>418.64089999999999</v>
      </c>
      <c r="K666" s="110">
        <v>0.92030755035795608</v>
      </c>
      <c r="L666" s="110">
        <v>1.5172350170549154</v>
      </c>
      <c r="M666" s="110"/>
      <c r="N666" s="110"/>
      <c r="O666" s="110"/>
      <c r="P666" s="110"/>
      <c r="Q666" s="110">
        <v>2929.0492800000002</v>
      </c>
      <c r="R666" s="110"/>
      <c r="S666" s="110"/>
      <c r="T666" s="110"/>
    </row>
    <row r="667" spans="1:20">
      <c r="A667" s="110" t="s">
        <v>44</v>
      </c>
      <c r="B667" s="110" t="s">
        <v>66</v>
      </c>
      <c r="C667" s="110">
        <v>12700</v>
      </c>
      <c r="D667" s="110">
        <v>26.900020000000001</v>
      </c>
      <c r="E667" s="110">
        <v>7142</v>
      </c>
      <c r="F667" s="110">
        <v>320.54000000000002</v>
      </c>
      <c r="G667" s="110">
        <v>0.82329195023842039</v>
      </c>
      <c r="H667" s="110">
        <v>1.598933670701115</v>
      </c>
      <c r="I667" s="110">
        <v>20707.900000000001</v>
      </c>
      <c r="J667" s="110">
        <v>417.524</v>
      </c>
      <c r="K667" s="110">
        <v>0.91716896386742375</v>
      </c>
      <c r="L667" s="110">
        <v>1.5168925035774232</v>
      </c>
      <c r="M667" s="110"/>
      <c r="N667" s="110"/>
      <c r="O667" s="110"/>
      <c r="P667" s="110"/>
      <c r="Q667" s="110">
        <v>2982.92004</v>
      </c>
      <c r="R667" s="110"/>
      <c r="S667" s="110"/>
      <c r="T667" s="110"/>
    </row>
    <row r="668" spans="1:20">
      <c r="A668" s="110" t="s">
        <v>44</v>
      </c>
      <c r="B668" s="110" t="s">
        <v>66</v>
      </c>
      <c r="C668" s="110">
        <v>12700</v>
      </c>
      <c r="D668" s="110">
        <v>26.900020000000001</v>
      </c>
      <c r="E668" s="110">
        <v>7142</v>
      </c>
      <c r="F668" s="110">
        <v>320.54000000000002</v>
      </c>
      <c r="G668" s="110">
        <v>0.82329195023842039</v>
      </c>
      <c r="H668" s="110">
        <v>1.598933670701115</v>
      </c>
      <c r="I668" s="110">
        <v>19749.060000000001</v>
      </c>
      <c r="J668" s="110">
        <v>413.96690000000001</v>
      </c>
      <c r="K668" s="110">
        <v>0.91227402225309029</v>
      </c>
      <c r="L668" s="110">
        <v>1.524378268146126</v>
      </c>
      <c r="M668" s="110"/>
      <c r="N668" s="110"/>
      <c r="O668" s="110"/>
      <c r="P668" s="110"/>
      <c r="Q668" s="110">
        <v>3136.2652800000001</v>
      </c>
      <c r="R668" s="110"/>
      <c r="S668" s="110"/>
      <c r="T668" s="110"/>
    </row>
    <row r="669" spans="1:20">
      <c r="A669" s="110" t="s">
        <v>44</v>
      </c>
      <c r="B669" s="110" t="s">
        <v>66</v>
      </c>
      <c r="C669" s="110">
        <v>12700</v>
      </c>
      <c r="D669" s="110">
        <v>26.900020000000001</v>
      </c>
      <c r="E669" s="110">
        <v>7142</v>
      </c>
      <c r="F669" s="110">
        <v>320.54000000000002</v>
      </c>
      <c r="G669" s="110">
        <v>0.82329195023842039</v>
      </c>
      <c r="H669" s="110">
        <v>1.598933670701115</v>
      </c>
      <c r="I669" s="110">
        <v>19214.48</v>
      </c>
      <c r="J669" s="110">
        <v>412.11880000000002</v>
      </c>
      <c r="K669" s="110">
        <v>0.90919903026670434</v>
      </c>
      <c r="L669" s="110">
        <v>1.5237891247600022</v>
      </c>
      <c r="M669" s="110"/>
      <c r="N669" s="110"/>
      <c r="O669" s="110"/>
      <c r="P669" s="110"/>
      <c r="Q669" s="110">
        <v>3203.98056</v>
      </c>
      <c r="R669" s="110"/>
      <c r="S669" s="110"/>
      <c r="T669" s="110"/>
    </row>
    <row r="670" spans="1:20">
      <c r="A670" s="110" t="s">
        <v>44</v>
      </c>
      <c r="B670" s="110" t="s">
        <v>66</v>
      </c>
      <c r="C670" s="110">
        <v>12700</v>
      </c>
      <c r="D670" s="110">
        <v>26.900020000000001</v>
      </c>
      <c r="E670" s="110">
        <v>7142</v>
      </c>
      <c r="F670" s="110">
        <v>320.54000000000002</v>
      </c>
      <c r="G670" s="110">
        <v>0.82329195023842039</v>
      </c>
      <c r="H670" s="110">
        <v>1.598933670701115</v>
      </c>
      <c r="I670" s="110">
        <v>18200.02</v>
      </c>
      <c r="J670" s="110">
        <v>408.63040000000001</v>
      </c>
      <c r="K670" s="110">
        <v>0.90110364051882708</v>
      </c>
      <c r="L670" s="110">
        <v>1.5229412605910706</v>
      </c>
      <c r="M670" s="110"/>
      <c r="N670" s="110"/>
      <c r="O670" s="110"/>
      <c r="P670" s="110"/>
      <c r="Q670" s="110">
        <v>3310.9833600000002</v>
      </c>
      <c r="R670" s="110"/>
      <c r="S670" s="110"/>
      <c r="T670" s="110"/>
    </row>
    <row r="671" spans="1:20">
      <c r="A671" s="110" t="s">
        <v>44</v>
      </c>
      <c r="B671" s="110" t="s">
        <v>66</v>
      </c>
      <c r="C671" s="110">
        <v>12700</v>
      </c>
      <c r="D671" s="110">
        <v>26.900020000000001</v>
      </c>
      <c r="E671" s="110">
        <v>7142</v>
      </c>
      <c r="F671" s="110">
        <v>320.54000000000002</v>
      </c>
      <c r="G671" s="110">
        <v>0.82329195023842039</v>
      </c>
      <c r="H671" s="110">
        <v>1.598933670701115</v>
      </c>
      <c r="I671" s="110">
        <v>17610.079999999998</v>
      </c>
      <c r="J671" s="110">
        <v>406.61829999999998</v>
      </c>
      <c r="K671" s="110">
        <v>0.90037182832226959</v>
      </c>
      <c r="L671" s="110">
        <v>1.5225649066310023</v>
      </c>
      <c r="M671" s="110"/>
      <c r="N671" s="110"/>
      <c r="O671" s="110"/>
      <c r="P671" s="110"/>
      <c r="Q671" s="110">
        <v>3360.4434000000001</v>
      </c>
      <c r="R671" s="110"/>
      <c r="S671" s="110"/>
      <c r="T671" s="110"/>
    </row>
    <row r="672" spans="1:20">
      <c r="A672" s="110" t="s">
        <v>44</v>
      </c>
      <c r="B672" s="110" t="s">
        <v>66</v>
      </c>
      <c r="C672" s="110">
        <v>12700</v>
      </c>
      <c r="D672" s="110">
        <v>26.900020000000001</v>
      </c>
      <c r="E672" s="110">
        <v>7142</v>
      </c>
      <c r="F672" s="110">
        <v>320.54000000000002</v>
      </c>
      <c r="G672" s="110">
        <v>0.82329195023842039</v>
      </c>
      <c r="H672" s="110">
        <v>1.598933670701115</v>
      </c>
      <c r="I672" s="110">
        <v>16470.189999999999</v>
      </c>
      <c r="J672" s="110">
        <v>402.79930000000002</v>
      </c>
      <c r="K672" s="110">
        <v>0.89299551577701908</v>
      </c>
      <c r="L672" s="110">
        <v>1.5200997337151745</v>
      </c>
      <c r="M672" s="110"/>
      <c r="N672" s="110"/>
      <c r="O672" s="110"/>
      <c r="P672" s="110"/>
      <c r="Q672" s="110">
        <v>3433.47156</v>
      </c>
      <c r="R672" s="110"/>
      <c r="S672" s="110"/>
      <c r="T672" s="110"/>
    </row>
    <row r="673" spans="1:20">
      <c r="A673" s="110" t="s">
        <v>44</v>
      </c>
      <c r="B673" s="110" t="s">
        <v>66</v>
      </c>
      <c r="C673" s="110">
        <v>12700</v>
      </c>
      <c r="D673" s="110">
        <v>26.900020000000001</v>
      </c>
      <c r="E673" s="110">
        <v>7142</v>
      </c>
      <c r="F673" s="110">
        <v>320.54000000000002</v>
      </c>
      <c r="G673" s="110">
        <v>0.82329195023842039</v>
      </c>
      <c r="H673" s="110">
        <v>1.598933670701115</v>
      </c>
      <c r="I673" s="110">
        <v>15958.260000000002</v>
      </c>
      <c r="J673" s="110">
        <v>401.08010000000002</v>
      </c>
      <c r="K673" s="110">
        <v>0.89285478999760193</v>
      </c>
      <c r="L673" s="110">
        <v>1.5138125644314713</v>
      </c>
      <c r="M673" s="110"/>
      <c r="N673" s="110"/>
      <c r="O673" s="110"/>
      <c r="P673" s="110"/>
      <c r="Q673" s="110">
        <v>3460.4658000000004</v>
      </c>
      <c r="R673" s="110"/>
      <c r="S673" s="110"/>
      <c r="T673" s="110"/>
    </row>
    <row r="674" spans="1:20">
      <c r="A674" s="110" t="s">
        <v>44</v>
      </c>
      <c r="B674" s="110" t="s">
        <v>66</v>
      </c>
      <c r="C674" s="110">
        <v>12700</v>
      </c>
      <c r="D674" s="110">
        <v>26.900020000000001</v>
      </c>
      <c r="E674" s="110">
        <v>7142</v>
      </c>
      <c r="F674" s="110">
        <v>320.54000000000002</v>
      </c>
      <c r="G674" s="110">
        <v>0.82329195023842039</v>
      </c>
      <c r="H674" s="110">
        <v>1.598933670701115</v>
      </c>
      <c r="I674" s="110">
        <v>14987.22</v>
      </c>
      <c r="J674" s="110">
        <v>397.76089999999999</v>
      </c>
      <c r="K674" s="110">
        <v>0.88949499591474523</v>
      </c>
      <c r="L674" s="110">
        <v>1.5156714212217421</v>
      </c>
      <c r="M674" s="110"/>
      <c r="N674" s="110"/>
      <c r="O674" s="110"/>
      <c r="P674" s="110"/>
      <c r="Q674" s="110">
        <v>3508.01064</v>
      </c>
      <c r="R674" s="110"/>
      <c r="S674" s="110"/>
      <c r="T674" s="110"/>
    </row>
    <row r="675" spans="1:20">
      <c r="A675" s="110" t="s">
        <v>44</v>
      </c>
      <c r="B675" s="110" t="s">
        <v>66</v>
      </c>
      <c r="C675" s="110">
        <v>12700</v>
      </c>
      <c r="D675" s="110">
        <v>26.900020000000001</v>
      </c>
      <c r="E675" s="110">
        <v>7142</v>
      </c>
      <c r="F675" s="110">
        <v>320.54000000000002</v>
      </c>
      <c r="G675" s="110">
        <v>0.82329195023842039</v>
      </c>
      <c r="H675" s="110">
        <v>1.598933670701115</v>
      </c>
      <c r="I675" s="110">
        <v>14423.259999999998</v>
      </c>
      <c r="J675" s="110">
        <v>395.73360000000002</v>
      </c>
      <c r="K675" s="110">
        <v>0.88767343056525783</v>
      </c>
      <c r="L675" s="110">
        <v>1.5052007020695406</v>
      </c>
      <c r="M675" s="110"/>
      <c r="N675" s="110"/>
      <c r="O675" s="110"/>
      <c r="P675" s="110"/>
      <c r="Q675" s="110">
        <v>3535.2554399999999</v>
      </c>
      <c r="R675" s="110"/>
      <c r="S675" s="110"/>
      <c r="T675" s="110"/>
    </row>
    <row r="676" spans="1:20">
      <c r="A676" s="110" t="s">
        <v>44</v>
      </c>
      <c r="B676" s="110" t="s">
        <v>66</v>
      </c>
      <c r="C676" s="110">
        <v>12700</v>
      </c>
      <c r="D676" s="110">
        <v>26.900020000000001</v>
      </c>
      <c r="E676" s="110">
        <v>7142</v>
      </c>
      <c r="F676" s="110">
        <v>320.54000000000002</v>
      </c>
      <c r="G676" s="110">
        <v>0.82329195023842039</v>
      </c>
      <c r="H676" s="110">
        <v>1.598933670701115</v>
      </c>
      <c r="I676" s="110">
        <v>12982.570000000002</v>
      </c>
      <c r="J676" s="110">
        <v>390.47570000000002</v>
      </c>
      <c r="K676" s="110">
        <v>0.88463375449400961</v>
      </c>
      <c r="L676" s="110">
        <v>1.4901771688330987</v>
      </c>
      <c r="M676" s="110"/>
      <c r="N676" s="110"/>
      <c r="O676" s="110"/>
      <c r="P676" s="110"/>
      <c r="Q676" s="110">
        <v>3589.8134399999999</v>
      </c>
      <c r="R676" s="110"/>
      <c r="S676" s="110"/>
      <c r="T676" s="110"/>
    </row>
    <row r="677" spans="1:20">
      <c r="A677" s="110" t="s">
        <v>44</v>
      </c>
      <c r="B677" s="110" t="s">
        <v>66</v>
      </c>
      <c r="C677" s="110">
        <v>12065</v>
      </c>
      <c r="D677" s="110">
        <v>26.900020000000001</v>
      </c>
      <c r="E677" s="110">
        <v>7142</v>
      </c>
      <c r="F677" s="110">
        <v>320.54000000000002</v>
      </c>
      <c r="G677" s="110">
        <v>0.82329195023842039</v>
      </c>
      <c r="H677" s="110">
        <v>1.598933670701115</v>
      </c>
      <c r="I677" s="110">
        <v>21592</v>
      </c>
      <c r="J677" s="110">
        <v>422.9941</v>
      </c>
      <c r="K677" s="110">
        <v>0.92853878339083107</v>
      </c>
      <c r="L677" s="110">
        <v>1.5118743895212319</v>
      </c>
      <c r="M677" s="110"/>
      <c r="N677" s="110"/>
      <c r="O677" s="110"/>
      <c r="P677" s="110"/>
      <c r="Q677" s="110">
        <v>1886.6804399999999</v>
      </c>
      <c r="R677" s="110"/>
      <c r="S677" s="110"/>
      <c r="T677" s="110"/>
    </row>
    <row r="678" spans="1:20">
      <c r="A678" s="110" t="s">
        <v>44</v>
      </c>
      <c r="B678" s="110" t="s">
        <v>66</v>
      </c>
      <c r="C678" s="110">
        <v>12065</v>
      </c>
      <c r="D678" s="110">
        <v>26.900020000000001</v>
      </c>
      <c r="E678" s="110">
        <v>7142</v>
      </c>
      <c r="F678" s="110">
        <v>320.54000000000002</v>
      </c>
      <c r="G678" s="110">
        <v>0.82329195023842039</v>
      </c>
      <c r="H678" s="110">
        <v>1.598933670701115</v>
      </c>
      <c r="I678" s="110">
        <v>21566.01</v>
      </c>
      <c r="J678" s="110">
        <v>422.79300000000001</v>
      </c>
      <c r="K678" s="110">
        <v>0.9281943550433438</v>
      </c>
      <c r="L678" s="110">
        <v>1.5121844472888835</v>
      </c>
      <c r="M678" s="110"/>
      <c r="N678" s="110"/>
      <c r="O678" s="110"/>
      <c r="P678" s="110"/>
      <c r="Q678" s="110">
        <v>1902.63024</v>
      </c>
      <c r="R678" s="110"/>
      <c r="S678" s="110"/>
      <c r="T678" s="110"/>
    </row>
    <row r="679" spans="1:20">
      <c r="A679" s="110" t="s">
        <v>44</v>
      </c>
      <c r="B679" s="110" t="s">
        <v>66</v>
      </c>
      <c r="C679" s="110">
        <v>12065</v>
      </c>
      <c r="D679" s="110">
        <v>26.900020000000001</v>
      </c>
      <c r="E679" s="110">
        <v>7142</v>
      </c>
      <c r="F679" s="110">
        <v>320.54000000000002</v>
      </c>
      <c r="G679" s="110">
        <v>0.82329195023842039</v>
      </c>
      <c r="H679" s="110">
        <v>1.598933670701115</v>
      </c>
      <c r="I679" s="110">
        <v>21521.780000000002</v>
      </c>
      <c r="J679" s="110">
        <v>422.45179999999999</v>
      </c>
      <c r="K679" s="110">
        <v>0.92760327877370796</v>
      </c>
      <c r="L679" s="110">
        <v>1.5127058587110167</v>
      </c>
      <c r="M679" s="110"/>
      <c r="N679" s="110"/>
      <c r="O679" s="110"/>
      <c r="P679" s="110"/>
      <c r="Q679" s="110">
        <v>1929.9034799999999</v>
      </c>
      <c r="R679" s="110"/>
      <c r="S679" s="110"/>
      <c r="T679" s="110"/>
    </row>
    <row r="680" spans="1:20">
      <c r="A680" s="110" t="s">
        <v>44</v>
      </c>
      <c r="B680" s="110" t="s">
        <v>66</v>
      </c>
      <c r="C680" s="110">
        <v>12065</v>
      </c>
      <c r="D680" s="110">
        <v>26.900020000000001</v>
      </c>
      <c r="E680" s="110">
        <v>7142</v>
      </c>
      <c r="F680" s="110">
        <v>320.54000000000002</v>
      </c>
      <c r="G680" s="110">
        <v>0.82329195023842039</v>
      </c>
      <c r="H680" s="110">
        <v>1.598933670701115</v>
      </c>
      <c r="I680" s="110">
        <v>21305.81</v>
      </c>
      <c r="J680" s="110">
        <v>420.9545</v>
      </c>
      <c r="K680" s="110">
        <v>0.92483037323759953</v>
      </c>
      <c r="L680" s="110">
        <v>1.5146672670776899</v>
      </c>
      <c r="M680" s="110"/>
      <c r="N680" s="110"/>
      <c r="O680" s="110"/>
      <c r="P680" s="110"/>
      <c r="Q680" s="110">
        <v>2043.0737999999999</v>
      </c>
      <c r="R680" s="110"/>
      <c r="S680" s="110"/>
      <c r="T680" s="110"/>
    </row>
    <row r="681" spans="1:20">
      <c r="A681" s="110" t="s">
        <v>44</v>
      </c>
      <c r="B681" s="110" t="s">
        <v>66</v>
      </c>
      <c r="C681" s="110">
        <v>12065</v>
      </c>
      <c r="D681" s="110">
        <v>26.900020000000001</v>
      </c>
      <c r="E681" s="110">
        <v>7142</v>
      </c>
      <c r="F681" s="110">
        <v>320.54000000000002</v>
      </c>
      <c r="G681" s="110">
        <v>0.82329195023842039</v>
      </c>
      <c r="H681" s="110">
        <v>1.598933670701115</v>
      </c>
      <c r="I681" s="110">
        <v>20863.329999999998</v>
      </c>
      <c r="J681" s="110">
        <v>418.23099999999999</v>
      </c>
      <c r="K681" s="110">
        <v>0.91904154444496011</v>
      </c>
      <c r="L681" s="110">
        <v>1.5169040919949839</v>
      </c>
      <c r="M681" s="110"/>
      <c r="N681" s="110"/>
      <c r="O681" s="110"/>
      <c r="P681" s="110"/>
      <c r="Q681" s="110">
        <v>2225.52684</v>
      </c>
      <c r="R681" s="110"/>
      <c r="S681" s="110"/>
      <c r="T681" s="110"/>
    </row>
    <row r="682" spans="1:20">
      <c r="A682" s="110" t="s">
        <v>44</v>
      </c>
      <c r="B682" s="110" t="s">
        <v>66</v>
      </c>
      <c r="C682" s="110">
        <v>12065</v>
      </c>
      <c r="D682" s="110">
        <v>26.900020000000001</v>
      </c>
      <c r="E682" s="110">
        <v>7142</v>
      </c>
      <c r="F682" s="110">
        <v>320.54000000000002</v>
      </c>
      <c r="G682" s="110">
        <v>0.82329195023842039</v>
      </c>
      <c r="H682" s="110">
        <v>1.598933670701115</v>
      </c>
      <c r="I682" s="110">
        <v>20688.68</v>
      </c>
      <c r="J682" s="110">
        <v>417.23899999999998</v>
      </c>
      <c r="K682" s="110">
        <v>0.91666144069543132</v>
      </c>
      <c r="L682" s="110">
        <v>1.5172294998051969</v>
      </c>
      <c r="M682" s="110"/>
      <c r="N682" s="110"/>
      <c r="O682" s="110"/>
      <c r="P682" s="110"/>
      <c r="Q682" s="110">
        <v>2290.9874399999999</v>
      </c>
      <c r="R682" s="110"/>
      <c r="S682" s="110"/>
      <c r="T682" s="110"/>
    </row>
    <row r="683" spans="1:20">
      <c r="A683" s="110" t="s">
        <v>44</v>
      </c>
      <c r="B683" s="110" t="s">
        <v>66</v>
      </c>
      <c r="C683" s="110">
        <v>12065</v>
      </c>
      <c r="D683" s="110">
        <v>26.900020000000001</v>
      </c>
      <c r="E683" s="110">
        <v>7142</v>
      </c>
      <c r="F683" s="110">
        <v>320.54000000000002</v>
      </c>
      <c r="G683" s="110">
        <v>0.82329195023842039</v>
      </c>
      <c r="H683" s="110">
        <v>1.598933670701115</v>
      </c>
      <c r="I683" s="110">
        <v>20555.13</v>
      </c>
      <c r="J683" s="110">
        <v>416.50990000000002</v>
      </c>
      <c r="K683" s="110">
        <v>0.91480324911407673</v>
      </c>
      <c r="L683" s="110">
        <v>1.5174005306239922</v>
      </c>
      <c r="M683" s="110"/>
      <c r="N683" s="110"/>
      <c r="O683" s="110"/>
      <c r="P683" s="110"/>
      <c r="Q683" s="110">
        <v>2339.5003200000001</v>
      </c>
      <c r="R683" s="110"/>
      <c r="S683" s="110"/>
      <c r="T683" s="110"/>
    </row>
    <row r="684" spans="1:20">
      <c r="A684" s="110" t="s">
        <v>44</v>
      </c>
      <c r="B684" s="110" t="s">
        <v>66</v>
      </c>
      <c r="C684" s="110">
        <v>12065</v>
      </c>
      <c r="D684" s="110">
        <v>26.900020000000001</v>
      </c>
      <c r="E684" s="110">
        <v>7142</v>
      </c>
      <c r="F684" s="110">
        <v>320.54000000000002</v>
      </c>
      <c r="G684" s="110">
        <v>0.82329195023842039</v>
      </c>
      <c r="H684" s="110">
        <v>1.598933670701115</v>
      </c>
      <c r="I684" s="110">
        <v>20351.669999999998</v>
      </c>
      <c r="J684" s="110">
        <v>415.459</v>
      </c>
      <c r="K684" s="110">
        <v>0.91325906092682529</v>
      </c>
      <c r="L684" s="110">
        <v>1.526803473940453</v>
      </c>
      <c r="M684" s="110"/>
      <c r="N684" s="110"/>
      <c r="O684" s="110"/>
      <c r="P684" s="110"/>
      <c r="Q684" s="110">
        <v>2408.8661999999999</v>
      </c>
      <c r="R684" s="110"/>
      <c r="S684" s="110"/>
      <c r="T684" s="110"/>
    </row>
    <row r="685" spans="1:20">
      <c r="A685" s="110" t="s">
        <v>44</v>
      </c>
      <c r="B685" s="110" t="s">
        <v>66</v>
      </c>
      <c r="C685" s="110">
        <v>12065</v>
      </c>
      <c r="D685" s="110">
        <v>26.900020000000001</v>
      </c>
      <c r="E685" s="110">
        <v>7142</v>
      </c>
      <c r="F685" s="110">
        <v>320.54000000000002</v>
      </c>
      <c r="G685" s="110">
        <v>0.82329195023842039</v>
      </c>
      <c r="H685" s="110">
        <v>1.598933670701115</v>
      </c>
      <c r="I685" s="110">
        <v>19885.14</v>
      </c>
      <c r="J685" s="110">
        <v>413.24259999999998</v>
      </c>
      <c r="K685" s="110">
        <v>0.91110162311019083</v>
      </c>
      <c r="L685" s="110">
        <v>1.5284343029634742</v>
      </c>
      <c r="M685" s="110"/>
      <c r="N685" s="110"/>
      <c r="O685" s="110"/>
      <c r="P685" s="110"/>
      <c r="Q685" s="110">
        <v>2546.6576399999999</v>
      </c>
      <c r="R685" s="110"/>
      <c r="S685" s="110"/>
      <c r="T685" s="110"/>
    </row>
    <row r="686" spans="1:20">
      <c r="A686" s="110" t="s">
        <v>44</v>
      </c>
      <c r="B686" s="110" t="s">
        <v>66</v>
      </c>
      <c r="C686" s="110">
        <v>12065</v>
      </c>
      <c r="D686" s="110">
        <v>26.900020000000001</v>
      </c>
      <c r="E686" s="110">
        <v>7142</v>
      </c>
      <c r="F686" s="110">
        <v>320.54000000000002</v>
      </c>
      <c r="G686" s="110">
        <v>0.82329195023842039</v>
      </c>
      <c r="H686" s="110">
        <v>1.598933670701115</v>
      </c>
      <c r="I686" s="110">
        <v>19643.37</v>
      </c>
      <c r="J686" s="110">
        <v>412.19</v>
      </c>
      <c r="K686" s="110">
        <v>0.90971284563949673</v>
      </c>
      <c r="L686" s="110">
        <v>1.5289377843204985</v>
      </c>
      <c r="M686" s="110"/>
      <c r="N686" s="110"/>
      <c r="O686" s="110"/>
      <c r="P686" s="110"/>
      <c r="Q686" s="110">
        <v>2605.0867200000002</v>
      </c>
      <c r="R686" s="110"/>
      <c r="S686" s="110"/>
      <c r="T686" s="110"/>
    </row>
    <row r="687" spans="1:20">
      <c r="A687" s="110" t="s">
        <v>44</v>
      </c>
      <c r="B687" s="110" t="s">
        <v>66</v>
      </c>
      <c r="C687" s="110">
        <v>12065</v>
      </c>
      <c r="D687" s="110">
        <v>26.900020000000001</v>
      </c>
      <c r="E687" s="110">
        <v>7142</v>
      </c>
      <c r="F687" s="110">
        <v>320.54000000000002</v>
      </c>
      <c r="G687" s="110">
        <v>0.82329195023842039</v>
      </c>
      <c r="H687" s="110">
        <v>1.598933670701115</v>
      </c>
      <c r="I687" s="110">
        <v>19213.399999999998</v>
      </c>
      <c r="J687" s="110">
        <v>410.39170000000001</v>
      </c>
      <c r="K687" s="110">
        <v>0.90666485818093034</v>
      </c>
      <c r="L687" s="110">
        <v>1.5296212168605949</v>
      </c>
      <c r="M687" s="110"/>
      <c r="N687" s="110"/>
      <c r="O687" s="110"/>
      <c r="P687" s="110"/>
      <c r="Q687" s="110">
        <v>2697.8633999999997</v>
      </c>
      <c r="R687" s="110"/>
      <c r="S687" s="110"/>
      <c r="T687" s="110"/>
    </row>
    <row r="688" spans="1:20">
      <c r="A688" s="110" t="s">
        <v>44</v>
      </c>
      <c r="B688" s="110" t="s">
        <v>66</v>
      </c>
      <c r="C688" s="110">
        <v>12065</v>
      </c>
      <c r="D688" s="110">
        <v>26.900020000000001</v>
      </c>
      <c r="E688" s="110">
        <v>7142</v>
      </c>
      <c r="F688" s="110">
        <v>320.54000000000002</v>
      </c>
      <c r="G688" s="110">
        <v>0.82329195023842039</v>
      </c>
      <c r="H688" s="110">
        <v>1.598933670701115</v>
      </c>
      <c r="I688" s="110">
        <v>18973.55</v>
      </c>
      <c r="J688" s="110">
        <v>409.39640000000003</v>
      </c>
      <c r="K688" s="110">
        <v>0.90459674223760034</v>
      </c>
      <c r="L688" s="110">
        <v>1.5299260755359194</v>
      </c>
      <c r="M688" s="110"/>
      <c r="N688" s="110"/>
      <c r="O688" s="110"/>
      <c r="P688" s="110"/>
      <c r="Q688" s="110">
        <v>2746.4896800000001</v>
      </c>
      <c r="R688" s="110"/>
      <c r="S688" s="110"/>
      <c r="T688" s="110"/>
    </row>
    <row r="689" spans="1:20">
      <c r="A689" s="110" t="s">
        <v>44</v>
      </c>
      <c r="B689" s="110" t="s">
        <v>66</v>
      </c>
      <c r="C689" s="110">
        <v>12065</v>
      </c>
      <c r="D689" s="110">
        <v>26.900020000000001</v>
      </c>
      <c r="E689" s="110">
        <v>7142</v>
      </c>
      <c r="F689" s="110">
        <v>320.54000000000002</v>
      </c>
      <c r="G689" s="110">
        <v>0.82329195023842039</v>
      </c>
      <c r="H689" s="110">
        <v>1.598933670701115</v>
      </c>
      <c r="I689" s="110">
        <v>18152.240000000002</v>
      </c>
      <c r="J689" s="110">
        <v>406.0104</v>
      </c>
      <c r="K689" s="110">
        <v>0.89749530414068912</v>
      </c>
      <c r="L689" s="110">
        <v>1.5322048114119258</v>
      </c>
      <c r="M689" s="110"/>
      <c r="N689" s="110"/>
      <c r="O689" s="110"/>
      <c r="P689" s="110"/>
      <c r="Q689" s="110">
        <v>2897.7883200000001</v>
      </c>
      <c r="R689" s="110"/>
      <c r="S689" s="110"/>
      <c r="T689" s="110"/>
    </row>
    <row r="690" spans="1:20">
      <c r="A690" s="110" t="s">
        <v>44</v>
      </c>
      <c r="B690" s="110" t="s">
        <v>66</v>
      </c>
      <c r="C690" s="110">
        <v>12065</v>
      </c>
      <c r="D690" s="110">
        <v>26.900020000000001</v>
      </c>
      <c r="E690" s="110">
        <v>7142</v>
      </c>
      <c r="F690" s="110">
        <v>320.54000000000002</v>
      </c>
      <c r="G690" s="110">
        <v>0.82329195023842039</v>
      </c>
      <c r="H690" s="110">
        <v>1.598933670701115</v>
      </c>
      <c r="I690" s="110">
        <v>17646.690000000002</v>
      </c>
      <c r="J690" s="110">
        <v>404.0489</v>
      </c>
      <c r="K690" s="110">
        <v>0.89639034462768175</v>
      </c>
      <c r="L690" s="110">
        <v>1.5326785916234775</v>
      </c>
      <c r="M690" s="110"/>
      <c r="N690" s="110"/>
      <c r="O690" s="110"/>
      <c r="P690" s="110"/>
      <c r="Q690" s="110">
        <v>2970.4060799999997</v>
      </c>
      <c r="R690" s="110"/>
      <c r="S690" s="110"/>
      <c r="T690" s="110"/>
    </row>
    <row r="691" spans="1:20">
      <c r="A691" s="110" t="s">
        <v>44</v>
      </c>
      <c r="B691" s="110" t="s">
        <v>66</v>
      </c>
      <c r="C691" s="110">
        <v>12065</v>
      </c>
      <c r="D691" s="110">
        <v>26.900020000000001</v>
      </c>
      <c r="E691" s="110">
        <v>7142</v>
      </c>
      <c r="F691" s="110">
        <v>320.54000000000002</v>
      </c>
      <c r="G691" s="110">
        <v>0.82329195023842039</v>
      </c>
      <c r="H691" s="110">
        <v>1.598933670701115</v>
      </c>
      <c r="I691" s="110">
        <v>16787.280000000002</v>
      </c>
      <c r="J691" s="110">
        <v>400.83260000000001</v>
      </c>
      <c r="K691" s="110">
        <v>0.89110873826653736</v>
      </c>
      <c r="L691" s="110">
        <v>1.5324459780557618</v>
      </c>
      <c r="M691" s="110"/>
      <c r="N691" s="110"/>
      <c r="O691" s="110"/>
      <c r="P691" s="110"/>
      <c r="Q691" s="110">
        <v>3073.77432</v>
      </c>
      <c r="R691" s="110"/>
      <c r="S691" s="110"/>
      <c r="T691" s="110"/>
    </row>
    <row r="692" spans="1:20">
      <c r="A692" s="110" t="s">
        <v>44</v>
      </c>
      <c r="B692" s="110" t="s">
        <v>66</v>
      </c>
      <c r="C692" s="110">
        <v>12065</v>
      </c>
      <c r="D692" s="110">
        <v>26.900020000000001</v>
      </c>
      <c r="E692" s="110">
        <v>7142</v>
      </c>
      <c r="F692" s="110">
        <v>320.54000000000002</v>
      </c>
      <c r="G692" s="110">
        <v>0.82329195023842039</v>
      </c>
      <c r="H692" s="110">
        <v>1.598933670701115</v>
      </c>
      <c r="I692" s="110">
        <v>16282.61</v>
      </c>
      <c r="J692" s="110">
        <v>398.97890000000001</v>
      </c>
      <c r="K692" s="110">
        <v>0.88739576821952881</v>
      </c>
      <c r="L692" s="110">
        <v>1.5272028026789832</v>
      </c>
      <c r="M692" s="110"/>
      <c r="N692" s="110"/>
      <c r="O692" s="110"/>
      <c r="P692" s="110"/>
      <c r="Q692" s="110">
        <v>3123.1911599999999</v>
      </c>
      <c r="R692" s="110"/>
      <c r="S692" s="110"/>
      <c r="T692" s="110"/>
    </row>
    <row r="693" spans="1:20">
      <c r="A693" s="110" t="s">
        <v>44</v>
      </c>
      <c r="B693" s="110" t="s">
        <v>66</v>
      </c>
      <c r="C693" s="110">
        <v>12065</v>
      </c>
      <c r="D693" s="110">
        <v>26.900020000000001</v>
      </c>
      <c r="E693" s="110">
        <v>7142</v>
      </c>
      <c r="F693" s="110">
        <v>320.54000000000002</v>
      </c>
      <c r="G693" s="110">
        <v>0.82329195023842039</v>
      </c>
      <c r="H693" s="110">
        <v>1.598933670701115</v>
      </c>
      <c r="I693" s="110">
        <v>15293.13</v>
      </c>
      <c r="J693" s="110">
        <v>395.41890000000001</v>
      </c>
      <c r="K693" s="110">
        <v>0.88608212160893063</v>
      </c>
      <c r="L693" s="110">
        <v>1.5275482608136501</v>
      </c>
      <c r="M693" s="110"/>
      <c r="N693" s="110"/>
      <c r="O693" s="110"/>
      <c r="P693" s="110"/>
      <c r="Q693" s="110">
        <v>3198.6043199999999</v>
      </c>
      <c r="R693" s="110"/>
      <c r="S693" s="110"/>
      <c r="T693" s="110"/>
    </row>
    <row r="694" spans="1:20">
      <c r="A694" s="110" t="s">
        <v>44</v>
      </c>
      <c r="B694" s="110" t="s">
        <v>66</v>
      </c>
      <c r="C694" s="110">
        <v>12065</v>
      </c>
      <c r="D694" s="110">
        <v>26.900020000000001</v>
      </c>
      <c r="E694" s="110">
        <v>7142</v>
      </c>
      <c r="F694" s="110">
        <v>320.54000000000002</v>
      </c>
      <c r="G694" s="110">
        <v>0.82329195023842039</v>
      </c>
      <c r="H694" s="110">
        <v>1.598933670701115</v>
      </c>
      <c r="I694" s="110">
        <v>14843.81</v>
      </c>
      <c r="J694" s="110">
        <v>393.78899999999999</v>
      </c>
      <c r="K694" s="110">
        <v>0.8829657068498542</v>
      </c>
      <c r="L694" s="110">
        <v>1.5271496614863336</v>
      </c>
      <c r="M694" s="110"/>
      <c r="N694" s="110"/>
      <c r="O694" s="110"/>
      <c r="P694" s="110"/>
      <c r="Q694" s="110">
        <v>3227.1724800000002</v>
      </c>
      <c r="R694" s="110"/>
      <c r="S694" s="110"/>
      <c r="T694" s="110"/>
    </row>
    <row r="695" spans="1:20">
      <c r="A695" s="110" t="s">
        <v>44</v>
      </c>
      <c r="B695" s="110" t="s">
        <v>66</v>
      </c>
      <c r="C695" s="110">
        <v>12065</v>
      </c>
      <c r="D695" s="110">
        <v>26.900020000000001</v>
      </c>
      <c r="E695" s="110">
        <v>7142</v>
      </c>
      <c r="F695" s="110">
        <v>320.54000000000002</v>
      </c>
      <c r="G695" s="110">
        <v>0.82329195023842039</v>
      </c>
      <c r="H695" s="110">
        <v>1.598933670701115</v>
      </c>
      <c r="I695" s="110">
        <v>13949.55</v>
      </c>
      <c r="J695" s="110">
        <v>390.47829999999999</v>
      </c>
      <c r="K695" s="110">
        <v>0.88252092122260983</v>
      </c>
      <c r="L695" s="110">
        <v>1.5186589109360917</v>
      </c>
      <c r="M695" s="110"/>
      <c r="N695" s="110"/>
      <c r="O695" s="110"/>
      <c r="P695" s="110"/>
      <c r="Q695" s="110">
        <v>3277.7928000000002</v>
      </c>
      <c r="R695" s="110"/>
      <c r="S695" s="110"/>
      <c r="T695" s="110"/>
    </row>
    <row r="696" spans="1:20">
      <c r="A696" s="110" t="s">
        <v>44</v>
      </c>
      <c r="B696" s="110" t="s">
        <v>66</v>
      </c>
      <c r="C696" s="110">
        <v>12065</v>
      </c>
      <c r="D696" s="110">
        <v>26.900020000000001</v>
      </c>
      <c r="E696" s="110">
        <v>7142</v>
      </c>
      <c r="F696" s="110">
        <v>320.54000000000002</v>
      </c>
      <c r="G696" s="110">
        <v>0.82329195023842039</v>
      </c>
      <c r="H696" s="110">
        <v>1.598933670701115</v>
      </c>
      <c r="I696" s="110">
        <v>13416.720000000001</v>
      </c>
      <c r="J696" s="110">
        <v>388.46690000000001</v>
      </c>
      <c r="K696" s="110">
        <v>0.88045109824568946</v>
      </c>
      <c r="L696" s="110">
        <v>1.5200625392827081</v>
      </c>
      <c r="M696" s="110"/>
      <c r="N696" s="110"/>
      <c r="O696" s="110"/>
      <c r="P696" s="110"/>
      <c r="Q696" s="110">
        <v>3303.28656</v>
      </c>
      <c r="R696" s="110"/>
      <c r="S696" s="110"/>
      <c r="T696" s="110"/>
    </row>
    <row r="697" spans="1:20">
      <c r="A697" s="110" t="s">
        <v>44</v>
      </c>
      <c r="B697" s="110" t="s">
        <v>66</v>
      </c>
      <c r="C697" s="110">
        <v>12065</v>
      </c>
      <c r="D697" s="110">
        <v>26.900020000000001</v>
      </c>
      <c r="E697" s="110">
        <v>7142</v>
      </c>
      <c r="F697" s="110">
        <v>320.54000000000002</v>
      </c>
      <c r="G697" s="110">
        <v>0.82329195023842039</v>
      </c>
      <c r="H697" s="110">
        <v>1.598933670701115</v>
      </c>
      <c r="I697" s="110">
        <v>12550.53</v>
      </c>
      <c r="J697" s="110">
        <v>385.11009999999999</v>
      </c>
      <c r="K697" s="110">
        <v>0.88057558634761757</v>
      </c>
      <c r="L697" s="110">
        <v>1.5060245187729862</v>
      </c>
      <c r="M697" s="110"/>
      <c r="N697" s="110"/>
      <c r="O697" s="110"/>
      <c r="P697" s="110"/>
      <c r="Q697" s="110">
        <v>3341.6996399999998</v>
      </c>
      <c r="R697" s="110"/>
      <c r="S697" s="110"/>
      <c r="T697" s="110"/>
    </row>
    <row r="698" spans="1:20">
      <c r="A698" s="110" t="s">
        <v>44</v>
      </c>
      <c r="B698" s="110" t="s">
        <v>66</v>
      </c>
      <c r="C698" s="110">
        <v>12065</v>
      </c>
      <c r="D698" s="110">
        <v>26.900020000000001</v>
      </c>
      <c r="E698" s="110">
        <v>7142</v>
      </c>
      <c r="F698" s="110">
        <v>320.54000000000002</v>
      </c>
      <c r="G698" s="110">
        <v>0.82329195023842039</v>
      </c>
      <c r="H698" s="110">
        <v>1.598933670701115</v>
      </c>
      <c r="I698" s="110">
        <v>12045.83</v>
      </c>
      <c r="J698" s="110">
        <v>383.0899</v>
      </c>
      <c r="K698" s="110">
        <v>0.87957958130049563</v>
      </c>
      <c r="L698" s="110">
        <v>1.5072556581227288</v>
      </c>
      <c r="M698" s="110"/>
      <c r="N698" s="110"/>
      <c r="O698" s="110"/>
      <c r="P698" s="110"/>
      <c r="Q698" s="110">
        <v>3363.46308</v>
      </c>
      <c r="R698" s="110"/>
      <c r="S698" s="110"/>
      <c r="T698" s="110"/>
    </row>
    <row r="699" spans="1:20">
      <c r="A699" s="110" t="s">
        <v>44</v>
      </c>
      <c r="B699" s="110" t="s">
        <v>66</v>
      </c>
      <c r="C699" s="110">
        <v>11430</v>
      </c>
      <c r="D699" s="110">
        <v>26.900020000000001</v>
      </c>
      <c r="E699" s="110">
        <v>7142</v>
      </c>
      <c r="F699" s="110">
        <v>320.54000000000002</v>
      </c>
      <c r="G699" s="110">
        <v>0.82329195023842039</v>
      </c>
      <c r="H699" s="110">
        <v>1.598933670701115</v>
      </c>
      <c r="I699" s="110">
        <v>19687.710000000003</v>
      </c>
      <c r="J699" s="110">
        <v>414.48450000000003</v>
      </c>
      <c r="K699" s="110">
        <v>0.91304905414509119</v>
      </c>
      <c r="L699" s="110">
        <v>1.5218039742430367</v>
      </c>
      <c r="M699" s="110"/>
      <c r="N699" s="110"/>
      <c r="O699" s="110"/>
      <c r="P699" s="110"/>
      <c r="Q699" s="110">
        <v>1693.69164</v>
      </c>
      <c r="R699" s="110"/>
      <c r="S699" s="110"/>
      <c r="T699" s="110"/>
    </row>
    <row r="700" spans="1:20">
      <c r="A700" s="110" t="s">
        <v>44</v>
      </c>
      <c r="B700" s="110" t="s">
        <v>66</v>
      </c>
      <c r="C700" s="110">
        <v>11430</v>
      </c>
      <c r="D700" s="110">
        <v>26.900020000000001</v>
      </c>
      <c r="E700" s="110">
        <v>7142</v>
      </c>
      <c r="F700" s="110">
        <v>320.54000000000002</v>
      </c>
      <c r="G700" s="110">
        <v>0.82329195023842039</v>
      </c>
      <c r="H700" s="110">
        <v>1.598933670701115</v>
      </c>
      <c r="I700" s="110">
        <v>19674.21</v>
      </c>
      <c r="J700" s="110">
        <v>414.3657</v>
      </c>
      <c r="K700" s="110">
        <v>0.91287970385727046</v>
      </c>
      <c r="L700" s="110">
        <v>1.5220388918325223</v>
      </c>
      <c r="M700" s="110"/>
      <c r="N700" s="110"/>
      <c r="O700" s="110"/>
      <c r="P700" s="110"/>
      <c r="Q700" s="110">
        <v>1703.1985199999999</v>
      </c>
      <c r="R700" s="110"/>
      <c r="S700" s="110"/>
      <c r="T700" s="110"/>
    </row>
    <row r="701" spans="1:20">
      <c r="A701" s="110" t="s">
        <v>44</v>
      </c>
      <c r="B701" s="110" t="s">
        <v>66</v>
      </c>
      <c r="C701" s="110">
        <v>11430</v>
      </c>
      <c r="D701" s="110">
        <v>26.900020000000001</v>
      </c>
      <c r="E701" s="110">
        <v>7142</v>
      </c>
      <c r="F701" s="110">
        <v>320.54000000000002</v>
      </c>
      <c r="G701" s="110">
        <v>0.82329195023842039</v>
      </c>
      <c r="H701" s="110">
        <v>1.598933670701115</v>
      </c>
      <c r="I701" s="110">
        <v>19524.46</v>
      </c>
      <c r="J701" s="110">
        <v>413.15230000000003</v>
      </c>
      <c r="K701" s="110">
        <v>0.91109115747966252</v>
      </c>
      <c r="L701" s="110">
        <v>1.5242921834325818</v>
      </c>
      <c r="M701" s="110"/>
      <c r="N701" s="110"/>
      <c r="O701" s="110"/>
      <c r="P701" s="110"/>
      <c r="Q701" s="110">
        <v>1796.8788</v>
      </c>
      <c r="R701" s="110"/>
      <c r="S701" s="110"/>
      <c r="T701" s="110"/>
    </row>
    <row r="702" spans="1:20">
      <c r="A702" s="110" t="s">
        <v>44</v>
      </c>
      <c r="B702" s="110" t="s">
        <v>66</v>
      </c>
      <c r="C702" s="110">
        <v>11430</v>
      </c>
      <c r="D702" s="110">
        <v>26.900020000000001</v>
      </c>
      <c r="E702" s="110">
        <v>7142</v>
      </c>
      <c r="F702" s="110">
        <v>320.54000000000002</v>
      </c>
      <c r="G702" s="110">
        <v>0.82329195023842039</v>
      </c>
      <c r="H702" s="110">
        <v>1.598933670701115</v>
      </c>
      <c r="I702" s="110">
        <v>19437.579999999998</v>
      </c>
      <c r="J702" s="110">
        <v>412.50459999999998</v>
      </c>
      <c r="K702" s="110">
        <v>0.91008425268948379</v>
      </c>
      <c r="L702" s="110">
        <v>1.5254061068565219</v>
      </c>
      <c r="M702" s="110"/>
      <c r="N702" s="110"/>
      <c r="O702" s="110"/>
      <c r="P702" s="110"/>
      <c r="Q702" s="110">
        <v>1844.9082000000003</v>
      </c>
      <c r="R702" s="110"/>
      <c r="S702" s="110"/>
      <c r="T702" s="110"/>
    </row>
    <row r="703" spans="1:20">
      <c r="A703" s="110" t="s">
        <v>44</v>
      </c>
      <c r="B703" s="110" t="s">
        <v>66</v>
      </c>
      <c r="C703" s="110">
        <v>11430</v>
      </c>
      <c r="D703" s="110">
        <v>26.900020000000001</v>
      </c>
      <c r="E703" s="110">
        <v>7142</v>
      </c>
      <c r="F703" s="110">
        <v>320.54000000000002</v>
      </c>
      <c r="G703" s="110">
        <v>0.82329195023842039</v>
      </c>
      <c r="H703" s="110">
        <v>1.598933670701115</v>
      </c>
      <c r="I703" s="110">
        <v>19054.32</v>
      </c>
      <c r="J703" s="110">
        <v>409.95170000000002</v>
      </c>
      <c r="K703" s="110">
        <v>0.90564787024671578</v>
      </c>
      <c r="L703" s="110">
        <v>1.5291986322322473</v>
      </c>
      <c r="M703" s="110"/>
      <c r="N703" s="110"/>
      <c r="O703" s="110"/>
      <c r="P703" s="110"/>
      <c r="Q703" s="110">
        <v>2017.7107199999998</v>
      </c>
      <c r="R703" s="110"/>
      <c r="S703" s="110"/>
      <c r="T703" s="110"/>
    </row>
    <row r="704" spans="1:20">
      <c r="A704" s="110" t="s">
        <v>44</v>
      </c>
      <c r="B704" s="110" t="s">
        <v>66</v>
      </c>
      <c r="C704" s="110">
        <v>11430</v>
      </c>
      <c r="D704" s="110">
        <v>26.900020000000001</v>
      </c>
      <c r="E704" s="110">
        <v>7142</v>
      </c>
      <c r="F704" s="110">
        <v>320.54000000000002</v>
      </c>
      <c r="G704" s="110">
        <v>0.82329195023842039</v>
      </c>
      <c r="H704" s="110">
        <v>1.598933670701115</v>
      </c>
      <c r="I704" s="110">
        <v>18468.899999999998</v>
      </c>
      <c r="J704" s="110">
        <v>406.53199999999998</v>
      </c>
      <c r="K704" s="110">
        <v>0.89822028963768807</v>
      </c>
      <c r="L704" s="110">
        <v>1.5317251687709155</v>
      </c>
      <c r="M704" s="110"/>
      <c r="N704" s="110"/>
      <c r="O704" s="110"/>
      <c r="P704" s="110"/>
      <c r="Q704" s="110">
        <v>2240.8736399999998</v>
      </c>
      <c r="R704" s="110"/>
      <c r="S704" s="110"/>
      <c r="T704" s="110"/>
    </row>
    <row r="705" spans="1:20">
      <c r="A705" s="110" t="s">
        <v>44</v>
      </c>
      <c r="B705" s="110" t="s">
        <v>66</v>
      </c>
      <c r="C705" s="110">
        <v>11430</v>
      </c>
      <c r="D705" s="110">
        <v>26.900020000000001</v>
      </c>
      <c r="E705" s="110">
        <v>7142</v>
      </c>
      <c r="F705" s="110">
        <v>320.54000000000002</v>
      </c>
      <c r="G705" s="110">
        <v>0.82329195023842039</v>
      </c>
      <c r="H705" s="110">
        <v>1.598933670701115</v>
      </c>
      <c r="I705" s="110">
        <v>17840.5</v>
      </c>
      <c r="J705" s="110">
        <v>403.36540000000002</v>
      </c>
      <c r="K705" s="110">
        <v>0.89474896847925411</v>
      </c>
      <c r="L705" s="110">
        <v>1.5379082572741014</v>
      </c>
      <c r="M705" s="110"/>
      <c r="N705" s="110"/>
      <c r="O705" s="110"/>
      <c r="P705" s="110"/>
      <c r="Q705" s="110">
        <v>2422.2999599999998</v>
      </c>
      <c r="R705" s="110"/>
      <c r="S705" s="110"/>
      <c r="T705" s="110"/>
    </row>
    <row r="706" spans="1:20">
      <c r="A706" s="110" t="s">
        <v>44</v>
      </c>
      <c r="B706" s="110" t="s">
        <v>66</v>
      </c>
      <c r="C706" s="110">
        <v>11430</v>
      </c>
      <c r="D706" s="110">
        <v>26.900020000000001</v>
      </c>
      <c r="E706" s="110">
        <v>7142</v>
      </c>
      <c r="F706" s="110">
        <v>320.54000000000002</v>
      </c>
      <c r="G706" s="110">
        <v>0.82329195023842039</v>
      </c>
      <c r="H706" s="110">
        <v>1.598933670701115</v>
      </c>
      <c r="I706" s="110">
        <v>17501.419999999998</v>
      </c>
      <c r="J706" s="110">
        <v>401.81139999999999</v>
      </c>
      <c r="K706" s="110">
        <v>0.89312048571633418</v>
      </c>
      <c r="L706" s="110">
        <v>1.5390862171863302</v>
      </c>
      <c r="M706" s="110"/>
      <c r="N706" s="110"/>
      <c r="O706" s="110"/>
      <c r="P706" s="110"/>
      <c r="Q706" s="110">
        <v>2500.90164</v>
      </c>
      <c r="R706" s="110"/>
      <c r="S706" s="110"/>
      <c r="T706" s="110"/>
    </row>
    <row r="707" spans="1:20">
      <c r="A707" s="110" t="s">
        <v>44</v>
      </c>
      <c r="B707" s="110" t="s">
        <v>66</v>
      </c>
      <c r="C707" s="110">
        <v>11430</v>
      </c>
      <c r="D707" s="110">
        <v>26.900020000000001</v>
      </c>
      <c r="E707" s="110">
        <v>7142</v>
      </c>
      <c r="F707" s="110">
        <v>320.54000000000002</v>
      </c>
      <c r="G707" s="110">
        <v>0.82329195023842039</v>
      </c>
      <c r="H707" s="110">
        <v>1.598933670701115</v>
      </c>
      <c r="I707" s="110">
        <v>17498</v>
      </c>
      <c r="J707" s="110">
        <v>401.79579999999999</v>
      </c>
      <c r="K707" s="110">
        <v>0.89310070317247714</v>
      </c>
      <c r="L707" s="110">
        <v>1.5390974544906681</v>
      </c>
      <c r="M707" s="110"/>
      <c r="N707" s="110"/>
      <c r="O707" s="110"/>
      <c r="P707" s="110"/>
      <c r="Q707" s="110">
        <v>2501.6630399999999</v>
      </c>
      <c r="R707" s="110"/>
      <c r="S707" s="110"/>
      <c r="T707" s="110"/>
    </row>
    <row r="708" spans="1:20">
      <c r="A708" s="110" t="s">
        <v>44</v>
      </c>
      <c r="B708" s="110" t="s">
        <v>66</v>
      </c>
      <c r="C708" s="110">
        <v>11430</v>
      </c>
      <c r="D708" s="110">
        <v>26.900020000000001</v>
      </c>
      <c r="E708" s="110">
        <v>7142</v>
      </c>
      <c r="F708" s="110">
        <v>320.54000000000002</v>
      </c>
      <c r="G708" s="110">
        <v>0.82329195023842039</v>
      </c>
      <c r="H708" s="110">
        <v>1.598933670701115</v>
      </c>
      <c r="I708" s="110">
        <v>16817.2</v>
      </c>
      <c r="J708" s="110">
        <v>398.7593</v>
      </c>
      <c r="K708" s="110">
        <v>0.88789905135849834</v>
      </c>
      <c r="L708" s="110">
        <v>1.5409526179543322</v>
      </c>
      <c r="M708" s="110"/>
      <c r="N708" s="110"/>
      <c r="O708" s="110"/>
      <c r="P708" s="110"/>
      <c r="Q708" s="110">
        <v>2644.5391199999999</v>
      </c>
      <c r="R708" s="110"/>
      <c r="S708" s="110"/>
      <c r="T708" s="110"/>
    </row>
    <row r="709" spans="1:20">
      <c r="A709" s="110" t="s">
        <v>44</v>
      </c>
      <c r="B709" s="110" t="s">
        <v>66</v>
      </c>
      <c r="C709" s="110">
        <v>11430</v>
      </c>
      <c r="D709" s="110">
        <v>26.900020000000001</v>
      </c>
      <c r="E709" s="110">
        <v>7142</v>
      </c>
      <c r="F709" s="110">
        <v>320.54000000000002</v>
      </c>
      <c r="G709" s="110">
        <v>0.82329195023842039</v>
      </c>
      <c r="H709" s="110">
        <v>1.598933670701115</v>
      </c>
      <c r="I709" s="110">
        <v>16329.88</v>
      </c>
      <c r="J709" s="110">
        <v>396.68259999999998</v>
      </c>
      <c r="K709" s="110">
        <v>0.88336723881466339</v>
      </c>
      <c r="L709" s="110">
        <v>1.5374870959416171</v>
      </c>
      <c r="M709" s="110"/>
      <c r="N709" s="110"/>
      <c r="O709" s="110"/>
      <c r="P709" s="110"/>
      <c r="Q709" s="110">
        <v>2727.4096800000002</v>
      </c>
      <c r="R709" s="110"/>
      <c r="S709" s="110"/>
      <c r="T709" s="110"/>
    </row>
    <row r="710" spans="1:20">
      <c r="A710" s="110" t="s">
        <v>44</v>
      </c>
      <c r="B710" s="110" t="s">
        <v>66</v>
      </c>
      <c r="C710" s="110">
        <v>11430</v>
      </c>
      <c r="D710" s="110">
        <v>26.900020000000001</v>
      </c>
      <c r="E710" s="110">
        <v>7142</v>
      </c>
      <c r="F710" s="110">
        <v>320.54000000000002</v>
      </c>
      <c r="G710" s="110">
        <v>0.82329195023842039</v>
      </c>
      <c r="H710" s="110">
        <v>1.598933670701115</v>
      </c>
      <c r="I710" s="110">
        <v>15482.320000000002</v>
      </c>
      <c r="J710" s="110">
        <v>393.25439999999998</v>
      </c>
      <c r="K710" s="110">
        <v>0.88226202058304193</v>
      </c>
      <c r="L710" s="110">
        <v>1.5394770009940284</v>
      </c>
      <c r="M710" s="110"/>
      <c r="N710" s="110"/>
      <c r="O710" s="110"/>
      <c r="P710" s="110"/>
      <c r="Q710" s="110">
        <v>2839.6213199999997</v>
      </c>
      <c r="R710" s="110"/>
      <c r="S710" s="110"/>
      <c r="T710" s="110"/>
    </row>
    <row r="711" spans="1:20">
      <c r="A711" s="110" t="s">
        <v>44</v>
      </c>
      <c r="B711" s="110" t="s">
        <v>66</v>
      </c>
      <c r="C711" s="110">
        <v>11430</v>
      </c>
      <c r="D711" s="110">
        <v>26.900020000000001</v>
      </c>
      <c r="E711" s="110">
        <v>7142</v>
      </c>
      <c r="F711" s="110">
        <v>320.54000000000002</v>
      </c>
      <c r="G711" s="110">
        <v>0.82329195023842039</v>
      </c>
      <c r="H711" s="110">
        <v>1.598933670701115</v>
      </c>
      <c r="I711" s="110">
        <v>15094.649999999998</v>
      </c>
      <c r="J711" s="110">
        <v>391.71679999999998</v>
      </c>
      <c r="K711" s="110">
        <v>0.87993956416221841</v>
      </c>
      <c r="L711" s="110">
        <v>1.5399027644363039</v>
      </c>
      <c r="M711" s="110"/>
      <c r="N711" s="110"/>
      <c r="O711" s="110"/>
      <c r="P711" s="110"/>
      <c r="Q711" s="110">
        <v>2883.4775999999997</v>
      </c>
      <c r="R711" s="110"/>
      <c r="S711" s="110"/>
      <c r="T711" s="110"/>
    </row>
    <row r="712" spans="1:20">
      <c r="A712" s="110" t="s">
        <v>44</v>
      </c>
      <c r="B712" s="110" t="s">
        <v>66</v>
      </c>
      <c r="C712" s="110">
        <v>11430</v>
      </c>
      <c r="D712" s="110">
        <v>26.900020000000001</v>
      </c>
      <c r="E712" s="110">
        <v>7142</v>
      </c>
      <c r="F712" s="110">
        <v>320.54000000000002</v>
      </c>
      <c r="G712" s="110">
        <v>0.82329195023842039</v>
      </c>
      <c r="H712" s="110">
        <v>1.598933670701115</v>
      </c>
      <c r="I712" s="110">
        <v>14257.239999999998</v>
      </c>
      <c r="J712" s="110">
        <v>388.40649999999999</v>
      </c>
      <c r="K712" s="110">
        <v>0.8771699372577112</v>
      </c>
      <c r="L712" s="110">
        <v>1.5298892769288572</v>
      </c>
      <c r="M712" s="110"/>
      <c r="N712" s="110"/>
      <c r="O712" s="110"/>
      <c r="P712" s="110"/>
      <c r="Q712" s="110">
        <v>2963.3367599999997</v>
      </c>
      <c r="R712" s="110"/>
      <c r="S712" s="110"/>
      <c r="T712" s="110"/>
    </row>
    <row r="713" spans="1:20">
      <c r="A713" s="110" t="s">
        <v>44</v>
      </c>
      <c r="B713" s="110" t="s">
        <v>66</v>
      </c>
      <c r="C713" s="110">
        <v>11430</v>
      </c>
      <c r="D713" s="110">
        <v>26.900020000000001</v>
      </c>
      <c r="E713" s="110">
        <v>7142</v>
      </c>
      <c r="F713" s="110">
        <v>320.54000000000002</v>
      </c>
      <c r="G713" s="110">
        <v>0.82329195023842039</v>
      </c>
      <c r="H713" s="110">
        <v>1.598933670701115</v>
      </c>
      <c r="I713" s="110">
        <v>13801.01</v>
      </c>
      <c r="J713" s="110">
        <v>386.62369999999999</v>
      </c>
      <c r="K713" s="110">
        <v>0.87682683657545979</v>
      </c>
      <c r="L713" s="110">
        <v>1.5306493020950427</v>
      </c>
      <c r="M713" s="110"/>
      <c r="N713" s="110"/>
      <c r="O713" s="110"/>
      <c r="P713" s="110"/>
      <c r="Q713" s="110">
        <v>2997.1684800000003</v>
      </c>
      <c r="R713" s="110"/>
      <c r="S713" s="110"/>
      <c r="T713" s="110"/>
    </row>
    <row r="714" spans="1:20">
      <c r="A714" s="110" t="s">
        <v>44</v>
      </c>
      <c r="B714" s="110" t="s">
        <v>66</v>
      </c>
      <c r="C714" s="110">
        <v>11430</v>
      </c>
      <c r="D714" s="110">
        <v>26.900020000000001</v>
      </c>
      <c r="E714" s="110">
        <v>7142</v>
      </c>
      <c r="F714" s="110">
        <v>320.54000000000002</v>
      </c>
      <c r="G714" s="110">
        <v>0.82329195023842039</v>
      </c>
      <c r="H714" s="110">
        <v>1.598933670701115</v>
      </c>
      <c r="I714" s="110">
        <v>13066.2</v>
      </c>
      <c r="J714" s="110">
        <v>383.7115</v>
      </c>
      <c r="K714" s="110">
        <v>0.87274000786318728</v>
      </c>
      <c r="L714" s="110">
        <v>1.5178144754453706</v>
      </c>
      <c r="M714" s="110"/>
      <c r="N714" s="110"/>
      <c r="O714" s="110"/>
      <c r="P714" s="110"/>
      <c r="Q714" s="110">
        <v>3045.6136799999999</v>
      </c>
      <c r="R714" s="110"/>
      <c r="S714" s="110"/>
      <c r="T714" s="110"/>
    </row>
    <row r="715" spans="1:20">
      <c r="A715" s="110" t="s">
        <v>44</v>
      </c>
      <c r="B715" s="110" t="s">
        <v>66</v>
      </c>
      <c r="C715" s="110">
        <v>11430</v>
      </c>
      <c r="D715" s="110">
        <v>26.900020000000001</v>
      </c>
      <c r="E715" s="110">
        <v>7142</v>
      </c>
      <c r="F715" s="110">
        <v>320.54000000000002</v>
      </c>
      <c r="G715" s="110">
        <v>0.82329195023842039</v>
      </c>
      <c r="H715" s="110">
        <v>1.598933670701115</v>
      </c>
      <c r="I715" s="110">
        <v>12625.140000000001</v>
      </c>
      <c r="J715" s="110">
        <v>381.94369999999998</v>
      </c>
      <c r="K715" s="110">
        <v>0.87469690196758776</v>
      </c>
      <c r="L715" s="110">
        <v>1.5199658736516997</v>
      </c>
      <c r="M715" s="110"/>
      <c r="N715" s="110"/>
      <c r="O715" s="110"/>
      <c r="P715" s="110"/>
      <c r="Q715" s="110">
        <v>3071.8972799999997</v>
      </c>
      <c r="R715" s="110"/>
      <c r="S715" s="110"/>
      <c r="T715" s="110"/>
    </row>
    <row r="716" spans="1:20">
      <c r="A716" s="110" t="s">
        <v>44</v>
      </c>
      <c r="B716" s="110" t="s">
        <v>66</v>
      </c>
      <c r="C716" s="110">
        <v>11430</v>
      </c>
      <c r="D716" s="110">
        <v>26.900020000000001</v>
      </c>
      <c r="E716" s="110">
        <v>7142</v>
      </c>
      <c r="F716" s="110">
        <v>320.54000000000002</v>
      </c>
      <c r="G716" s="110">
        <v>0.82329195023842039</v>
      </c>
      <c r="H716" s="110">
        <v>1.598933670701115</v>
      </c>
      <c r="I716" s="110">
        <v>11807.4</v>
      </c>
      <c r="J716" s="110">
        <v>378.58019999999999</v>
      </c>
      <c r="K716" s="110">
        <v>0.87214836141269336</v>
      </c>
      <c r="L716" s="110">
        <v>1.5230698198978085</v>
      </c>
      <c r="M716" s="110"/>
      <c r="N716" s="110"/>
      <c r="O716" s="110"/>
      <c r="P716" s="110"/>
      <c r="Q716" s="110">
        <v>3116.50416</v>
      </c>
      <c r="R716" s="110"/>
      <c r="S716" s="110"/>
      <c r="T716" s="110"/>
    </row>
    <row r="717" spans="1:20">
      <c r="A717" s="110" t="s">
        <v>44</v>
      </c>
      <c r="B717" s="110" t="s">
        <v>66</v>
      </c>
      <c r="C717" s="110">
        <v>11430</v>
      </c>
      <c r="D717" s="110">
        <v>26.900020000000001</v>
      </c>
      <c r="E717" s="110">
        <v>7142</v>
      </c>
      <c r="F717" s="110">
        <v>320.54000000000002</v>
      </c>
      <c r="G717" s="110">
        <v>0.82329195023842039</v>
      </c>
      <c r="H717" s="110">
        <v>1.598933670701115</v>
      </c>
      <c r="I717" s="110">
        <v>11350.93</v>
      </c>
      <c r="J717" s="110">
        <v>376.64339999999999</v>
      </c>
      <c r="K717" s="110">
        <v>0.87421688952777399</v>
      </c>
      <c r="L717" s="110">
        <v>1.503927072049192</v>
      </c>
      <c r="M717" s="110"/>
      <c r="N717" s="110"/>
      <c r="O717" s="110"/>
      <c r="P717" s="110"/>
      <c r="Q717" s="110">
        <v>3138.73308</v>
      </c>
      <c r="R717" s="110"/>
      <c r="S717" s="110"/>
      <c r="T717" s="110"/>
    </row>
    <row r="718" spans="1:20">
      <c r="A718" s="110" t="s">
        <v>44</v>
      </c>
      <c r="B718" s="110" t="s">
        <v>66</v>
      </c>
      <c r="C718" s="110">
        <v>10795</v>
      </c>
      <c r="D718" s="110">
        <v>26.900020000000001</v>
      </c>
      <c r="E718" s="110">
        <v>7142</v>
      </c>
      <c r="F718" s="110">
        <v>320.54000000000002</v>
      </c>
      <c r="G718" s="110">
        <v>0.82329195023842039</v>
      </c>
      <c r="H718" s="110">
        <v>1.598933670701115</v>
      </c>
      <c r="I718" s="110">
        <v>17934.73</v>
      </c>
      <c r="J718" s="110">
        <v>406.06180000000001</v>
      </c>
      <c r="K718" s="110">
        <v>0.89858024460723818</v>
      </c>
      <c r="L718" s="110">
        <v>1.5291192811317502</v>
      </c>
      <c r="M718" s="110"/>
      <c r="N718" s="110"/>
      <c r="O718" s="110"/>
      <c r="P718" s="110"/>
      <c r="Q718" s="110">
        <v>1518.2395199999999</v>
      </c>
      <c r="R718" s="110"/>
      <c r="S718" s="110"/>
      <c r="T718" s="110"/>
    </row>
    <row r="719" spans="1:20">
      <c r="A719" s="110" t="s">
        <v>44</v>
      </c>
      <c r="B719" s="110" t="s">
        <v>66</v>
      </c>
      <c r="C719" s="110">
        <v>10795</v>
      </c>
      <c r="D719" s="110">
        <v>26.900020000000001</v>
      </c>
      <c r="E719" s="110">
        <v>7142</v>
      </c>
      <c r="F719" s="110">
        <v>320.54000000000002</v>
      </c>
      <c r="G719" s="110">
        <v>0.82329195023842039</v>
      </c>
      <c r="H719" s="110">
        <v>1.598933670701115</v>
      </c>
      <c r="I719" s="110">
        <v>17862.77</v>
      </c>
      <c r="J719" s="110">
        <v>405.32119999999998</v>
      </c>
      <c r="K719" s="110">
        <v>0.89775532984529893</v>
      </c>
      <c r="L719" s="110">
        <v>1.5309280442331594</v>
      </c>
      <c r="M719" s="110"/>
      <c r="N719" s="110"/>
      <c r="O719" s="110"/>
      <c r="P719" s="110"/>
      <c r="Q719" s="110">
        <v>1576.53396</v>
      </c>
      <c r="R719" s="110"/>
      <c r="S719" s="110"/>
      <c r="T719" s="110"/>
    </row>
    <row r="720" spans="1:20">
      <c r="A720" s="110" t="s">
        <v>44</v>
      </c>
      <c r="B720" s="110" t="s">
        <v>66</v>
      </c>
      <c r="C720" s="110">
        <v>10795</v>
      </c>
      <c r="D720" s="110">
        <v>26.900020000000001</v>
      </c>
      <c r="E720" s="110">
        <v>7142</v>
      </c>
      <c r="F720" s="110">
        <v>320.54000000000002</v>
      </c>
      <c r="G720" s="110">
        <v>0.82329195023842039</v>
      </c>
      <c r="H720" s="110">
        <v>1.598933670701115</v>
      </c>
      <c r="I720" s="110">
        <v>17781.080000000002</v>
      </c>
      <c r="J720" s="110">
        <v>404.56380000000001</v>
      </c>
      <c r="K720" s="110">
        <v>0.89684005006674039</v>
      </c>
      <c r="L720" s="110">
        <v>1.5326182578460879</v>
      </c>
      <c r="M720" s="110"/>
      <c r="N720" s="110"/>
      <c r="O720" s="110"/>
      <c r="P720" s="110"/>
      <c r="Q720" s="110">
        <v>1633.9942799999999</v>
      </c>
      <c r="R720" s="110"/>
      <c r="S720" s="110"/>
      <c r="T720" s="110"/>
    </row>
    <row r="721" spans="1:20">
      <c r="A721" s="110" t="s">
        <v>44</v>
      </c>
      <c r="B721" s="110" t="s">
        <v>66</v>
      </c>
      <c r="C721" s="110">
        <v>10795</v>
      </c>
      <c r="D721" s="110">
        <v>26.900020000000001</v>
      </c>
      <c r="E721" s="110">
        <v>7142</v>
      </c>
      <c r="F721" s="110">
        <v>320.54000000000002</v>
      </c>
      <c r="G721" s="110">
        <v>0.82329195023842039</v>
      </c>
      <c r="H721" s="110">
        <v>1.598933670701115</v>
      </c>
      <c r="I721" s="110">
        <v>17605.38</v>
      </c>
      <c r="J721" s="110">
        <v>403.1275</v>
      </c>
      <c r="K721" s="110">
        <v>0.89502455402158998</v>
      </c>
      <c r="L721" s="110">
        <v>1.5355569717848374</v>
      </c>
      <c r="M721" s="110"/>
      <c r="N721" s="110"/>
      <c r="O721" s="110"/>
      <c r="P721" s="110"/>
      <c r="Q721" s="110">
        <v>1738.0818000000002</v>
      </c>
      <c r="R721" s="110"/>
      <c r="S721" s="110"/>
      <c r="T721" s="110"/>
    </row>
    <row r="722" spans="1:20">
      <c r="A722" s="110" t="s">
        <v>44</v>
      </c>
      <c r="B722" s="110" t="s">
        <v>66</v>
      </c>
      <c r="C722" s="110">
        <v>10795</v>
      </c>
      <c r="D722" s="110">
        <v>26.900020000000001</v>
      </c>
      <c r="E722" s="110">
        <v>7142</v>
      </c>
      <c r="F722" s="110">
        <v>320.54000000000002</v>
      </c>
      <c r="G722" s="110">
        <v>0.82329195023842039</v>
      </c>
      <c r="H722" s="110">
        <v>1.598933670701115</v>
      </c>
      <c r="I722" s="110">
        <v>17258.39</v>
      </c>
      <c r="J722" s="110">
        <v>400.7056</v>
      </c>
      <c r="K722" s="110">
        <v>0.89154694550810087</v>
      </c>
      <c r="L722" s="110">
        <v>1.5398590499791858</v>
      </c>
      <c r="M722" s="110"/>
      <c r="N722" s="110"/>
      <c r="O722" s="110"/>
      <c r="P722" s="110"/>
      <c r="Q722" s="110">
        <v>1895.6775600000001</v>
      </c>
      <c r="R722" s="110"/>
      <c r="S722" s="110"/>
      <c r="T722" s="110"/>
    </row>
    <row r="723" spans="1:20">
      <c r="A723" s="110" t="s">
        <v>44</v>
      </c>
      <c r="B723" s="110" t="s">
        <v>66</v>
      </c>
      <c r="C723" s="110">
        <v>10795</v>
      </c>
      <c r="D723" s="110">
        <v>26.900020000000001</v>
      </c>
      <c r="E723" s="110">
        <v>7142</v>
      </c>
      <c r="F723" s="110">
        <v>320.54000000000002</v>
      </c>
      <c r="G723" s="110">
        <v>0.82329195023842039</v>
      </c>
      <c r="H723" s="110">
        <v>1.598933670701115</v>
      </c>
      <c r="I723" s="110">
        <v>17088.34</v>
      </c>
      <c r="J723" s="110">
        <v>399.61559999999997</v>
      </c>
      <c r="K723" s="110">
        <v>0.88973418865538489</v>
      </c>
      <c r="L723" s="110">
        <v>1.541612784012987</v>
      </c>
      <c r="M723" s="110"/>
      <c r="N723" s="110"/>
      <c r="O723" s="110"/>
      <c r="P723" s="110"/>
      <c r="Q723" s="110">
        <v>1967.7805199999998</v>
      </c>
      <c r="R723" s="110"/>
      <c r="S723" s="110"/>
      <c r="T723" s="110"/>
    </row>
    <row r="724" spans="1:20">
      <c r="A724" s="110" t="s">
        <v>44</v>
      </c>
      <c r="B724" s="110" t="s">
        <v>66</v>
      </c>
      <c r="C724" s="110">
        <v>10795</v>
      </c>
      <c r="D724" s="110">
        <v>26.900020000000001</v>
      </c>
      <c r="E724" s="110">
        <v>7142</v>
      </c>
      <c r="F724" s="110">
        <v>320.54000000000002</v>
      </c>
      <c r="G724" s="110">
        <v>0.82329195023842039</v>
      </c>
      <c r="H724" s="110">
        <v>1.598933670701115</v>
      </c>
      <c r="I724" s="110">
        <v>16676.830000000002</v>
      </c>
      <c r="J724" s="110">
        <v>397.2122</v>
      </c>
      <c r="K724" s="110">
        <v>0.88501550135066487</v>
      </c>
      <c r="L724" s="110">
        <v>1.5443447250241982</v>
      </c>
      <c r="M724" s="110"/>
      <c r="N724" s="110"/>
      <c r="O724" s="110"/>
      <c r="P724" s="110"/>
      <c r="Q724" s="110">
        <v>2115.7970399999999</v>
      </c>
      <c r="R724" s="110"/>
      <c r="S724" s="110"/>
      <c r="T724" s="110"/>
    </row>
    <row r="725" spans="1:20">
      <c r="A725" s="110" t="s">
        <v>44</v>
      </c>
      <c r="B725" s="110" t="s">
        <v>66</v>
      </c>
      <c r="C725" s="110">
        <v>10795</v>
      </c>
      <c r="D725" s="110">
        <v>26.900020000000001</v>
      </c>
      <c r="E725" s="110">
        <v>7142</v>
      </c>
      <c r="F725" s="110">
        <v>320.54000000000002</v>
      </c>
      <c r="G725" s="110">
        <v>0.82329195023842039</v>
      </c>
      <c r="H725" s="110">
        <v>1.598933670701115</v>
      </c>
      <c r="I725" s="110">
        <v>16530.600000000002</v>
      </c>
      <c r="J725" s="110">
        <v>396.41359999999997</v>
      </c>
      <c r="K725" s="110">
        <v>0.88318865186547935</v>
      </c>
      <c r="L725" s="110">
        <v>1.5451375855194363</v>
      </c>
      <c r="M725" s="110"/>
      <c r="N725" s="110"/>
      <c r="O725" s="110"/>
      <c r="P725" s="110"/>
      <c r="Q725" s="110">
        <v>2160.9399600000002</v>
      </c>
      <c r="R725" s="110"/>
      <c r="S725" s="110"/>
      <c r="T725" s="110"/>
    </row>
    <row r="726" spans="1:20">
      <c r="A726" s="110" t="s">
        <v>44</v>
      </c>
      <c r="B726" s="110" t="s">
        <v>66</v>
      </c>
      <c r="C726" s="110">
        <v>10795</v>
      </c>
      <c r="D726" s="110">
        <v>26.900020000000001</v>
      </c>
      <c r="E726" s="110">
        <v>7142</v>
      </c>
      <c r="F726" s="110">
        <v>320.54000000000002</v>
      </c>
      <c r="G726" s="110">
        <v>0.82329195023842039</v>
      </c>
      <c r="H726" s="110">
        <v>1.598933670701115</v>
      </c>
      <c r="I726" s="110">
        <v>16497.210000000003</v>
      </c>
      <c r="J726" s="110">
        <v>396.23450000000003</v>
      </c>
      <c r="K726" s="110">
        <v>0.88275925575028891</v>
      </c>
      <c r="L726" s="110">
        <v>1.5453118553121878</v>
      </c>
      <c r="M726" s="110"/>
      <c r="N726" s="110"/>
      <c r="O726" s="110"/>
      <c r="P726" s="110"/>
      <c r="Q726" s="110">
        <v>2170.9134000000004</v>
      </c>
      <c r="R726" s="110"/>
      <c r="S726" s="110"/>
      <c r="T726" s="110"/>
    </row>
    <row r="727" spans="1:20">
      <c r="A727" s="110" t="s">
        <v>44</v>
      </c>
      <c r="B727" s="110" t="s">
        <v>66</v>
      </c>
      <c r="C727" s="110">
        <v>10795</v>
      </c>
      <c r="D727" s="110">
        <v>26.900020000000001</v>
      </c>
      <c r="E727" s="110">
        <v>7142</v>
      </c>
      <c r="F727" s="110">
        <v>320.54000000000002</v>
      </c>
      <c r="G727" s="110">
        <v>0.82329195023842039</v>
      </c>
      <c r="H727" s="110">
        <v>1.598933670701115</v>
      </c>
      <c r="I727" s="110">
        <v>16147.559999999998</v>
      </c>
      <c r="J727" s="110">
        <v>394.43779999999998</v>
      </c>
      <c r="K727" s="110">
        <v>0.88117210334633711</v>
      </c>
      <c r="L727" s="110">
        <v>1.5443944374632157</v>
      </c>
      <c r="M727" s="110"/>
      <c r="N727" s="110"/>
      <c r="O727" s="110"/>
      <c r="P727" s="110"/>
      <c r="Q727" s="110">
        <v>2264.9871600000001</v>
      </c>
      <c r="R727" s="110"/>
      <c r="S727" s="110"/>
      <c r="T727" s="110"/>
    </row>
    <row r="728" spans="1:20">
      <c r="A728" s="110" t="s">
        <v>44</v>
      </c>
      <c r="B728" s="110" t="s">
        <v>66</v>
      </c>
      <c r="C728" s="110">
        <v>10795</v>
      </c>
      <c r="D728" s="110">
        <v>26.900020000000001</v>
      </c>
      <c r="E728" s="110">
        <v>7142</v>
      </c>
      <c r="F728" s="110">
        <v>320.54000000000002</v>
      </c>
      <c r="G728" s="110">
        <v>0.82329195023842039</v>
      </c>
      <c r="H728" s="110">
        <v>1.598933670701115</v>
      </c>
      <c r="I728" s="110">
        <v>15969.900000000001</v>
      </c>
      <c r="J728" s="110">
        <v>393.55860000000001</v>
      </c>
      <c r="K728" s="110">
        <v>0.88082558173926706</v>
      </c>
      <c r="L728" s="110">
        <v>1.5454530035114304</v>
      </c>
      <c r="M728" s="110"/>
      <c r="N728" s="110"/>
      <c r="O728" s="110"/>
      <c r="P728" s="110"/>
      <c r="Q728" s="110">
        <v>2308.4499599999999</v>
      </c>
      <c r="R728" s="110"/>
      <c r="S728" s="110"/>
      <c r="T728" s="110"/>
    </row>
    <row r="729" spans="1:20">
      <c r="A729" s="110" t="s">
        <v>44</v>
      </c>
      <c r="B729" s="110" t="s">
        <v>66</v>
      </c>
      <c r="C729" s="110">
        <v>10795</v>
      </c>
      <c r="D729" s="110">
        <v>26.900020000000001</v>
      </c>
      <c r="E729" s="110">
        <v>7142</v>
      </c>
      <c r="F729" s="110">
        <v>320.54000000000002</v>
      </c>
      <c r="G729" s="110">
        <v>0.82329195023842039</v>
      </c>
      <c r="H729" s="110">
        <v>1.598933670701115</v>
      </c>
      <c r="I729" s="110">
        <v>15383.949999999999</v>
      </c>
      <c r="J729" s="110">
        <v>390.75459999999998</v>
      </c>
      <c r="K729" s="110">
        <v>0.87819072771564133</v>
      </c>
      <c r="L729" s="110">
        <v>1.5484767669455664</v>
      </c>
      <c r="M729" s="110"/>
      <c r="N729" s="110"/>
      <c r="O729" s="110"/>
      <c r="P729" s="110"/>
      <c r="Q729" s="110">
        <v>2438.2303199999997</v>
      </c>
      <c r="R729" s="110"/>
      <c r="S729" s="110"/>
      <c r="T729" s="110"/>
    </row>
    <row r="730" spans="1:20">
      <c r="A730" s="110" t="s">
        <v>44</v>
      </c>
      <c r="B730" s="110" t="s">
        <v>66</v>
      </c>
      <c r="C730" s="110">
        <v>10795</v>
      </c>
      <c r="D730" s="110">
        <v>26.900020000000001</v>
      </c>
      <c r="E730" s="110">
        <v>7142</v>
      </c>
      <c r="F730" s="110">
        <v>320.54000000000002</v>
      </c>
      <c r="G730" s="110">
        <v>0.82329195023842039</v>
      </c>
      <c r="H730" s="110">
        <v>1.598933670701115</v>
      </c>
      <c r="I730" s="110">
        <v>15161.14</v>
      </c>
      <c r="J730" s="110">
        <v>389.71339999999998</v>
      </c>
      <c r="K730" s="110">
        <v>0.87656830447973888</v>
      </c>
      <c r="L730" s="110">
        <v>1.5494771085347414</v>
      </c>
      <c r="M730" s="110"/>
      <c r="N730" s="110"/>
      <c r="O730" s="110"/>
      <c r="P730" s="110"/>
      <c r="Q730" s="110">
        <v>2482.29036</v>
      </c>
      <c r="R730" s="110"/>
      <c r="S730" s="110"/>
      <c r="T730" s="110"/>
    </row>
    <row r="731" spans="1:20">
      <c r="A731" s="110" t="s">
        <v>44</v>
      </c>
      <c r="B731" s="110" t="s">
        <v>66</v>
      </c>
      <c r="C731" s="110">
        <v>10795</v>
      </c>
      <c r="D731" s="110">
        <v>26.900020000000001</v>
      </c>
      <c r="E731" s="110">
        <v>7142</v>
      </c>
      <c r="F731" s="110">
        <v>320.54000000000002</v>
      </c>
      <c r="G731" s="110">
        <v>0.82329195023842039</v>
      </c>
      <c r="H731" s="110">
        <v>1.598933670701115</v>
      </c>
      <c r="I731" s="110">
        <v>15037.53</v>
      </c>
      <c r="J731" s="110">
        <v>389.14839999999998</v>
      </c>
      <c r="K731" s="110">
        <v>0.87553294536481729</v>
      </c>
      <c r="L731" s="110">
        <v>1.5499643986781206</v>
      </c>
      <c r="M731" s="110"/>
      <c r="N731" s="110"/>
      <c r="O731" s="110"/>
      <c r="P731" s="110"/>
      <c r="Q731" s="110">
        <v>2504.7608399999999</v>
      </c>
      <c r="R731" s="110"/>
      <c r="S731" s="110"/>
      <c r="T731" s="110"/>
    </row>
    <row r="732" spans="1:20">
      <c r="A732" s="110" t="s">
        <v>44</v>
      </c>
      <c r="B732" s="110" t="s">
        <v>66</v>
      </c>
      <c r="C732" s="110">
        <v>10795</v>
      </c>
      <c r="D732" s="110">
        <v>26.900020000000001</v>
      </c>
      <c r="E732" s="110">
        <v>7142</v>
      </c>
      <c r="F732" s="110">
        <v>320.54000000000002</v>
      </c>
      <c r="G732" s="110">
        <v>0.82329195023842039</v>
      </c>
      <c r="H732" s="110">
        <v>1.598933670701115</v>
      </c>
      <c r="I732" s="110">
        <v>14268.58</v>
      </c>
      <c r="J732" s="110">
        <v>385.76690000000002</v>
      </c>
      <c r="K732" s="110">
        <v>0.87265300488108011</v>
      </c>
      <c r="L732" s="110">
        <v>1.5421839567378905</v>
      </c>
      <c r="M732" s="110"/>
      <c r="N732" s="110"/>
      <c r="O732" s="110"/>
      <c r="P732" s="110"/>
      <c r="Q732" s="110">
        <v>2618.4772800000001</v>
      </c>
      <c r="R732" s="110"/>
      <c r="S732" s="110"/>
      <c r="T732" s="110"/>
    </row>
    <row r="733" spans="1:20">
      <c r="A733" s="110" t="s">
        <v>44</v>
      </c>
      <c r="B733" s="110" t="s">
        <v>66</v>
      </c>
      <c r="C733" s="110">
        <v>10795</v>
      </c>
      <c r="D733" s="110">
        <v>26.900020000000001</v>
      </c>
      <c r="E733" s="110">
        <v>7142</v>
      </c>
      <c r="F733" s="110">
        <v>320.54000000000002</v>
      </c>
      <c r="G733" s="110">
        <v>0.82329195023842039</v>
      </c>
      <c r="H733" s="110">
        <v>1.598933670701115</v>
      </c>
      <c r="I733" s="110">
        <v>13951.990000000002</v>
      </c>
      <c r="J733" s="110">
        <v>384.41669999999999</v>
      </c>
      <c r="K733" s="110">
        <v>0.87249516451375919</v>
      </c>
      <c r="L733" s="110">
        <v>1.5434509893526125</v>
      </c>
      <c r="M733" s="110"/>
      <c r="N733" s="110"/>
      <c r="O733" s="110"/>
      <c r="P733" s="110"/>
      <c r="Q733" s="110">
        <v>2657.1736799999999</v>
      </c>
      <c r="R733" s="110"/>
      <c r="S733" s="110"/>
      <c r="T733" s="110"/>
    </row>
    <row r="734" spans="1:20">
      <c r="A734" s="110" t="s">
        <v>44</v>
      </c>
      <c r="B734" s="110" t="s">
        <v>66</v>
      </c>
      <c r="C734" s="110">
        <v>10795</v>
      </c>
      <c r="D734" s="110">
        <v>26.900020000000001</v>
      </c>
      <c r="E734" s="110">
        <v>7142</v>
      </c>
      <c r="F734" s="110">
        <v>320.54000000000002</v>
      </c>
      <c r="G734" s="110">
        <v>0.82329195023842039</v>
      </c>
      <c r="H734" s="110">
        <v>1.598933670701115</v>
      </c>
      <c r="I734" s="110">
        <v>13279.830000000002</v>
      </c>
      <c r="J734" s="110">
        <v>381.5813</v>
      </c>
      <c r="K734" s="110">
        <v>0.86880657081459223</v>
      </c>
      <c r="L734" s="110">
        <v>1.545329365079662</v>
      </c>
      <c r="M734" s="110"/>
      <c r="N734" s="110"/>
      <c r="O734" s="110"/>
      <c r="P734" s="110"/>
      <c r="Q734" s="110">
        <v>2728.7524799999997</v>
      </c>
      <c r="R734" s="110"/>
      <c r="S734" s="110"/>
      <c r="T734" s="110"/>
    </row>
    <row r="735" spans="1:20">
      <c r="A735" s="110" t="s">
        <v>44</v>
      </c>
      <c r="B735" s="110" t="s">
        <v>66</v>
      </c>
      <c r="C735" s="110">
        <v>10795</v>
      </c>
      <c r="D735" s="110">
        <v>26.900020000000001</v>
      </c>
      <c r="E735" s="110">
        <v>7142</v>
      </c>
      <c r="F735" s="110">
        <v>320.54000000000002</v>
      </c>
      <c r="G735" s="110">
        <v>0.82329195023842039</v>
      </c>
      <c r="H735" s="110">
        <v>1.598933670701115</v>
      </c>
      <c r="I735" s="110">
        <v>12930.779999999999</v>
      </c>
      <c r="J735" s="110">
        <v>380.09210000000002</v>
      </c>
      <c r="K735" s="110">
        <v>0.86820094632194178</v>
      </c>
      <c r="L735" s="110">
        <v>1.5290931871503974</v>
      </c>
      <c r="M735" s="110"/>
      <c r="N735" s="110"/>
      <c r="O735" s="110"/>
      <c r="P735" s="110"/>
      <c r="Q735" s="110">
        <v>2762.70228</v>
      </c>
      <c r="R735" s="110"/>
      <c r="S735" s="110"/>
      <c r="T735" s="110"/>
    </row>
    <row r="736" spans="1:20">
      <c r="A736" s="110" t="s">
        <v>44</v>
      </c>
      <c r="B736" s="110" t="s">
        <v>66</v>
      </c>
      <c r="C736" s="110">
        <v>10795</v>
      </c>
      <c r="D736" s="110">
        <v>26.900020000000001</v>
      </c>
      <c r="E736" s="110">
        <v>7142</v>
      </c>
      <c r="F736" s="110">
        <v>320.54000000000002</v>
      </c>
      <c r="G736" s="110">
        <v>0.82329195023842039</v>
      </c>
      <c r="H736" s="110">
        <v>1.598933670701115</v>
      </c>
      <c r="I736" s="110">
        <v>12179.36</v>
      </c>
      <c r="J736" s="110">
        <v>376.87029999999999</v>
      </c>
      <c r="K736" s="110">
        <v>0.86875130281140489</v>
      </c>
      <c r="L736" s="110">
        <v>1.5319485388021377</v>
      </c>
      <c r="M736" s="110"/>
      <c r="N736" s="110"/>
      <c r="O736" s="110"/>
      <c r="P736" s="110"/>
      <c r="Q736" s="110">
        <v>2825.9398800000004</v>
      </c>
      <c r="R736" s="110"/>
      <c r="S736" s="110"/>
      <c r="T736" s="110"/>
    </row>
    <row r="737" spans="1:20">
      <c r="A737" s="110" t="s">
        <v>44</v>
      </c>
      <c r="B737" s="110" t="s">
        <v>66</v>
      </c>
      <c r="C737" s="110">
        <v>10795</v>
      </c>
      <c r="D737" s="110">
        <v>26.900020000000001</v>
      </c>
      <c r="E737" s="110">
        <v>7142</v>
      </c>
      <c r="F737" s="110">
        <v>320.54000000000002</v>
      </c>
      <c r="G737" s="110">
        <v>0.82329195023842039</v>
      </c>
      <c r="H737" s="110">
        <v>1.598933670701115</v>
      </c>
      <c r="I737" s="110">
        <v>11797.21</v>
      </c>
      <c r="J737" s="110">
        <v>375.22730000000001</v>
      </c>
      <c r="K737" s="110">
        <v>0.86650289796686342</v>
      </c>
      <c r="L737" s="110">
        <v>1.5365045714447605</v>
      </c>
      <c r="M737" s="110"/>
      <c r="N737" s="110"/>
      <c r="O737" s="110"/>
      <c r="P737" s="110"/>
      <c r="Q737" s="110">
        <v>2852.0654399999999</v>
      </c>
      <c r="R737" s="110"/>
      <c r="S737" s="110"/>
      <c r="T737" s="110"/>
    </row>
    <row r="738" spans="1:20">
      <c r="A738" s="110" t="s">
        <v>44</v>
      </c>
      <c r="B738" s="110" t="s">
        <v>66</v>
      </c>
      <c r="C738" s="110">
        <v>10795</v>
      </c>
      <c r="D738" s="110">
        <v>26.900020000000001</v>
      </c>
      <c r="E738" s="110">
        <v>7142</v>
      </c>
      <c r="F738" s="110">
        <v>320.54000000000002</v>
      </c>
      <c r="G738" s="110">
        <v>0.82329195023842039</v>
      </c>
      <c r="H738" s="110">
        <v>1.598933670701115</v>
      </c>
      <c r="I738" s="110">
        <v>11141.74</v>
      </c>
      <c r="J738" s="110">
        <v>372.35079999999999</v>
      </c>
      <c r="K738" s="110">
        <v>0.86918343280460686</v>
      </c>
      <c r="L738" s="110">
        <v>1.5197388826615907</v>
      </c>
      <c r="M738" s="110"/>
      <c r="N738" s="110"/>
      <c r="O738" s="110"/>
      <c r="P738" s="110"/>
      <c r="Q738" s="110">
        <v>2891.7309600000003</v>
      </c>
      <c r="R738" s="110"/>
      <c r="S738" s="110"/>
      <c r="T738" s="110"/>
    </row>
    <row r="739" spans="1:20">
      <c r="A739" s="110" t="s">
        <v>44</v>
      </c>
      <c r="B739" s="110" t="s">
        <v>66</v>
      </c>
      <c r="C739" s="110">
        <v>10795</v>
      </c>
      <c r="D739" s="110">
        <v>26.900020000000001</v>
      </c>
      <c r="E739" s="110">
        <v>7142</v>
      </c>
      <c r="F739" s="110">
        <v>320.54000000000002</v>
      </c>
      <c r="G739" s="110">
        <v>0.82329195023842039</v>
      </c>
      <c r="H739" s="110">
        <v>1.598933670701115</v>
      </c>
      <c r="I739" s="110">
        <v>10956.109999999999</v>
      </c>
      <c r="J739" s="110">
        <v>371.52719999999999</v>
      </c>
      <c r="K739" s="110">
        <v>0.86914559780853395</v>
      </c>
      <c r="L739" s="110">
        <v>1.5207801394806586</v>
      </c>
      <c r="M739" s="110"/>
      <c r="N739" s="110"/>
      <c r="O739" s="110"/>
      <c r="P739" s="110"/>
      <c r="Q739" s="110">
        <v>2901.8440799999998</v>
      </c>
      <c r="R739" s="110"/>
      <c r="S739" s="110"/>
      <c r="T739" s="110"/>
    </row>
    <row r="740" spans="1:20">
      <c r="A740" s="110" t="s">
        <v>44</v>
      </c>
      <c r="B740" s="110" t="s">
        <v>66</v>
      </c>
      <c r="C740" s="110">
        <v>10160</v>
      </c>
      <c r="D740" s="110">
        <v>26.900020000000001</v>
      </c>
      <c r="E740" s="110">
        <v>7142</v>
      </c>
      <c r="F740" s="110">
        <v>320.54000000000002</v>
      </c>
      <c r="G740" s="110">
        <v>0.82329195023842039</v>
      </c>
      <c r="H740" s="110">
        <v>1.598933670701115</v>
      </c>
      <c r="I740" s="110">
        <v>16326.769999999999</v>
      </c>
      <c r="J740" s="110">
        <v>397.42919999999998</v>
      </c>
      <c r="K740" s="110">
        <v>0.88458182297376553</v>
      </c>
      <c r="L740" s="110">
        <v>1.5343015213308089</v>
      </c>
      <c r="M740" s="110"/>
      <c r="N740" s="110"/>
      <c r="O740" s="110"/>
      <c r="P740" s="110"/>
      <c r="Q740" s="110">
        <v>1390.1428800000001</v>
      </c>
      <c r="R740" s="110"/>
      <c r="S740" s="110"/>
      <c r="T740" s="110"/>
    </row>
    <row r="741" spans="1:20">
      <c r="A741" s="110" t="s">
        <v>44</v>
      </c>
      <c r="B741" s="110" t="s">
        <v>66</v>
      </c>
      <c r="C741" s="110">
        <v>10160</v>
      </c>
      <c r="D741" s="110">
        <v>26.900020000000001</v>
      </c>
      <c r="E741" s="110">
        <v>7142</v>
      </c>
      <c r="F741" s="110">
        <v>320.54000000000002</v>
      </c>
      <c r="G741" s="110">
        <v>0.82329195023842039</v>
      </c>
      <c r="H741" s="110">
        <v>1.598933670701115</v>
      </c>
      <c r="I741" s="110">
        <v>16307.839999999998</v>
      </c>
      <c r="J741" s="110">
        <v>397.2201</v>
      </c>
      <c r="K741" s="110">
        <v>0.88440780267805374</v>
      </c>
      <c r="L741" s="110">
        <v>1.5349183472313184</v>
      </c>
      <c r="M741" s="110"/>
      <c r="N741" s="110"/>
      <c r="O741" s="110"/>
      <c r="P741" s="110"/>
      <c r="Q741" s="110">
        <v>1406.3637600000002</v>
      </c>
      <c r="R741" s="110"/>
      <c r="S741" s="110"/>
      <c r="T741" s="110"/>
    </row>
    <row r="742" spans="1:20">
      <c r="A742" s="110" t="s">
        <v>44</v>
      </c>
      <c r="B742" s="110" t="s">
        <v>66</v>
      </c>
      <c r="C742" s="110">
        <v>10160</v>
      </c>
      <c r="D742" s="110">
        <v>26.900020000000001</v>
      </c>
      <c r="E742" s="110">
        <v>7142</v>
      </c>
      <c r="F742" s="110">
        <v>320.54000000000002</v>
      </c>
      <c r="G742" s="110">
        <v>0.82329195023842039</v>
      </c>
      <c r="H742" s="110">
        <v>1.598933670701115</v>
      </c>
      <c r="I742" s="110">
        <v>16281.3</v>
      </c>
      <c r="J742" s="110">
        <v>396.93740000000003</v>
      </c>
      <c r="K742" s="110">
        <v>0.88417581791967581</v>
      </c>
      <c r="L742" s="110">
        <v>1.5357397878439027</v>
      </c>
      <c r="M742" s="110"/>
      <c r="N742" s="110"/>
      <c r="O742" s="110"/>
      <c r="P742" s="110"/>
      <c r="Q742" s="110">
        <v>1428.0534</v>
      </c>
      <c r="R742" s="110"/>
      <c r="S742" s="110"/>
      <c r="T742" s="110"/>
    </row>
    <row r="743" spans="1:20">
      <c r="A743" s="110" t="s">
        <v>44</v>
      </c>
      <c r="B743" s="110" t="s">
        <v>66</v>
      </c>
      <c r="C743" s="110">
        <v>10160</v>
      </c>
      <c r="D743" s="110">
        <v>26.900020000000001</v>
      </c>
      <c r="E743" s="110">
        <v>7142</v>
      </c>
      <c r="F743" s="110">
        <v>320.54000000000002</v>
      </c>
      <c r="G743" s="110">
        <v>0.82329195023842039</v>
      </c>
      <c r="H743" s="110">
        <v>1.598933670701115</v>
      </c>
      <c r="I743" s="110">
        <v>16150.970000000001</v>
      </c>
      <c r="J743" s="110">
        <v>395.67849999999999</v>
      </c>
      <c r="K743" s="110">
        <v>0.88316479876828757</v>
      </c>
      <c r="L743" s="110">
        <v>1.5392308648012576</v>
      </c>
      <c r="M743" s="110"/>
      <c r="N743" s="110"/>
      <c r="O743" s="110"/>
      <c r="P743" s="110"/>
      <c r="Q743" s="110">
        <v>1521.16812</v>
      </c>
      <c r="R743" s="110"/>
      <c r="S743" s="110"/>
      <c r="T743" s="110"/>
    </row>
    <row r="744" spans="1:20">
      <c r="A744" s="110" t="s">
        <v>44</v>
      </c>
      <c r="B744" s="110" t="s">
        <v>66</v>
      </c>
      <c r="C744" s="110">
        <v>10160</v>
      </c>
      <c r="D744" s="110">
        <v>26.900020000000001</v>
      </c>
      <c r="E744" s="110">
        <v>7142</v>
      </c>
      <c r="F744" s="110">
        <v>320.54000000000002</v>
      </c>
      <c r="G744" s="110">
        <v>0.82329195023842039</v>
      </c>
      <c r="H744" s="110">
        <v>1.598933670701115</v>
      </c>
      <c r="I744" s="110">
        <v>15901.11</v>
      </c>
      <c r="J744" s="110">
        <v>393.61070000000001</v>
      </c>
      <c r="K744" s="110">
        <v>0.8812999455811964</v>
      </c>
      <c r="L744" s="110">
        <v>1.5442417048507173</v>
      </c>
      <c r="M744" s="110"/>
      <c r="N744" s="110"/>
      <c r="O744" s="110"/>
      <c r="P744" s="110"/>
      <c r="Q744" s="110">
        <v>1661.8798800000002</v>
      </c>
      <c r="R744" s="110"/>
      <c r="S744" s="110"/>
      <c r="T744" s="110"/>
    </row>
    <row r="745" spans="1:20">
      <c r="A745" s="110" t="s">
        <v>44</v>
      </c>
      <c r="B745" s="110" t="s">
        <v>66</v>
      </c>
      <c r="C745" s="110">
        <v>10160</v>
      </c>
      <c r="D745" s="110">
        <v>26.900020000000001</v>
      </c>
      <c r="E745" s="110">
        <v>7142</v>
      </c>
      <c r="F745" s="110">
        <v>320.54000000000002</v>
      </c>
      <c r="G745" s="110">
        <v>0.82329195023842039</v>
      </c>
      <c r="H745" s="110">
        <v>1.598933670701115</v>
      </c>
      <c r="I745" s="110">
        <v>15508.96</v>
      </c>
      <c r="J745" s="110">
        <v>390.8553</v>
      </c>
      <c r="K745" s="110">
        <v>0.87811335635670151</v>
      </c>
      <c r="L745" s="110">
        <v>1.5499476450277128</v>
      </c>
      <c r="M745" s="110"/>
      <c r="N745" s="110"/>
      <c r="O745" s="110"/>
      <c r="P745" s="110"/>
      <c r="Q745" s="110">
        <v>1838.0451599999999</v>
      </c>
      <c r="R745" s="110"/>
      <c r="S745" s="110"/>
      <c r="T745" s="110"/>
    </row>
    <row r="746" spans="1:20">
      <c r="A746" s="110" t="s">
        <v>44</v>
      </c>
      <c r="B746" s="110" t="s">
        <v>66</v>
      </c>
      <c r="C746" s="110">
        <v>10160</v>
      </c>
      <c r="D746" s="110">
        <v>26.900020000000001</v>
      </c>
      <c r="E746" s="110">
        <v>7142</v>
      </c>
      <c r="F746" s="110">
        <v>320.54000000000002</v>
      </c>
      <c r="G746" s="110">
        <v>0.82329195023842039</v>
      </c>
      <c r="H746" s="110">
        <v>1.598933670701115</v>
      </c>
      <c r="I746" s="110">
        <v>15112.9</v>
      </c>
      <c r="J746" s="110">
        <v>388.43770000000001</v>
      </c>
      <c r="K746" s="110">
        <v>0.87437169451411734</v>
      </c>
      <c r="L746" s="110">
        <v>1.554217883697844</v>
      </c>
      <c r="M746" s="110"/>
      <c r="N746" s="110"/>
      <c r="O746" s="110"/>
      <c r="P746" s="110"/>
      <c r="Q746" s="110">
        <v>1979.0820000000001</v>
      </c>
      <c r="R746" s="110"/>
      <c r="S746" s="110"/>
      <c r="T746" s="110"/>
    </row>
    <row r="747" spans="1:20">
      <c r="A747" s="110" t="s">
        <v>44</v>
      </c>
      <c r="B747" s="110" t="s">
        <v>66</v>
      </c>
      <c r="C747" s="110">
        <v>10160</v>
      </c>
      <c r="D747" s="110">
        <v>26.900020000000001</v>
      </c>
      <c r="E747" s="110">
        <v>7142</v>
      </c>
      <c r="F747" s="110">
        <v>320.54000000000002</v>
      </c>
      <c r="G747" s="110">
        <v>0.82329195023842039</v>
      </c>
      <c r="H747" s="110">
        <v>1.598933670701115</v>
      </c>
      <c r="I747" s="110">
        <v>14700.36</v>
      </c>
      <c r="J747" s="110">
        <v>386.12709999999998</v>
      </c>
      <c r="K747" s="110">
        <v>0.86961433650091502</v>
      </c>
      <c r="L747" s="110">
        <v>1.5577345107218967</v>
      </c>
      <c r="M747" s="110"/>
      <c r="N747" s="110"/>
      <c r="O747" s="110"/>
      <c r="P747" s="110"/>
      <c r="Q747" s="110">
        <v>2100.1665600000001</v>
      </c>
      <c r="R747" s="110"/>
      <c r="S747" s="110"/>
      <c r="T747" s="110"/>
    </row>
    <row r="748" spans="1:20">
      <c r="A748" s="110" t="s">
        <v>44</v>
      </c>
      <c r="B748" s="110" t="s">
        <v>66</v>
      </c>
      <c r="C748" s="110">
        <v>10160</v>
      </c>
      <c r="D748" s="110">
        <v>26.900020000000001</v>
      </c>
      <c r="E748" s="110">
        <v>7142</v>
      </c>
      <c r="F748" s="110">
        <v>320.54000000000002</v>
      </c>
      <c r="G748" s="110">
        <v>0.82329195023842039</v>
      </c>
      <c r="H748" s="110">
        <v>1.598933670701115</v>
      </c>
      <c r="I748" s="110">
        <v>13773.789999999999</v>
      </c>
      <c r="J748" s="110">
        <v>381.42520000000002</v>
      </c>
      <c r="K748" s="110">
        <v>0.86788991292129747</v>
      </c>
      <c r="L748" s="110">
        <v>1.5542509898207264</v>
      </c>
      <c r="M748" s="110"/>
      <c r="N748" s="110"/>
      <c r="O748" s="110"/>
      <c r="P748" s="110"/>
      <c r="Q748" s="110">
        <v>2306.0138400000001</v>
      </c>
      <c r="R748" s="110"/>
      <c r="S748" s="110"/>
      <c r="T748" s="110"/>
    </row>
    <row r="749" spans="1:20">
      <c r="A749" s="110" t="s">
        <v>44</v>
      </c>
      <c r="B749" s="110" t="s">
        <v>66</v>
      </c>
      <c r="C749" s="110">
        <v>10160</v>
      </c>
      <c r="D749" s="110">
        <v>26.900020000000001</v>
      </c>
      <c r="E749" s="110">
        <v>7142</v>
      </c>
      <c r="F749" s="110">
        <v>320.54000000000002</v>
      </c>
      <c r="G749" s="110">
        <v>0.82329195023842039</v>
      </c>
      <c r="H749" s="110">
        <v>1.598933670701115</v>
      </c>
      <c r="I749" s="110">
        <v>13196.77</v>
      </c>
      <c r="J749" s="110">
        <v>378.69510000000002</v>
      </c>
      <c r="K749" s="110">
        <v>0.86352231999294116</v>
      </c>
      <c r="L749" s="110">
        <v>1.5575754661106924</v>
      </c>
      <c r="M749" s="110"/>
      <c r="N749" s="110"/>
      <c r="O749" s="110"/>
      <c r="P749" s="110"/>
      <c r="Q749" s="110">
        <v>2402.0945999999999</v>
      </c>
      <c r="R749" s="110"/>
      <c r="S749" s="110"/>
      <c r="T749" s="110"/>
    </row>
    <row r="750" spans="1:20">
      <c r="A750" s="110" t="s">
        <v>44</v>
      </c>
      <c r="B750" s="110" t="s">
        <v>66</v>
      </c>
      <c r="C750" s="110">
        <v>10160</v>
      </c>
      <c r="D750" s="110">
        <v>26.900020000000001</v>
      </c>
      <c r="E750" s="110">
        <v>7142</v>
      </c>
      <c r="F750" s="110">
        <v>320.54000000000002</v>
      </c>
      <c r="G750" s="110">
        <v>0.82329195023842039</v>
      </c>
      <c r="H750" s="110">
        <v>1.598933670701115</v>
      </c>
      <c r="I750" s="110">
        <v>12917.779999999999</v>
      </c>
      <c r="J750" s="110">
        <v>377.39769999999999</v>
      </c>
      <c r="K750" s="110">
        <v>0.863581584384154</v>
      </c>
      <c r="L750" s="110">
        <v>1.5420171898023192</v>
      </c>
      <c r="M750" s="110"/>
      <c r="N750" s="110"/>
      <c r="O750" s="110"/>
      <c r="P750" s="110"/>
      <c r="Q750" s="110">
        <v>2441.6319599999997</v>
      </c>
      <c r="R750" s="110"/>
      <c r="S750" s="110"/>
      <c r="T750" s="110"/>
    </row>
    <row r="751" spans="1:20">
      <c r="A751" s="110" t="s">
        <v>44</v>
      </c>
      <c r="B751" s="110" t="s">
        <v>66</v>
      </c>
      <c r="C751" s="110">
        <v>10160</v>
      </c>
      <c r="D751" s="110">
        <v>26.900020000000001</v>
      </c>
      <c r="E751" s="110">
        <v>7142</v>
      </c>
      <c r="F751" s="110">
        <v>320.54000000000002</v>
      </c>
      <c r="G751" s="110">
        <v>0.82329195023842039</v>
      </c>
      <c r="H751" s="110">
        <v>1.598933670701115</v>
      </c>
      <c r="I751" s="110">
        <v>12758.710000000001</v>
      </c>
      <c r="J751" s="110">
        <v>376.6617</v>
      </c>
      <c r="K751" s="110">
        <v>0.86415134792612069</v>
      </c>
      <c r="L751" s="110">
        <v>1.5429967999448182</v>
      </c>
      <c r="M751" s="110"/>
      <c r="N751" s="110"/>
      <c r="O751" s="110"/>
      <c r="P751" s="110"/>
      <c r="Q751" s="110">
        <v>2462.1987600000002</v>
      </c>
      <c r="R751" s="110"/>
      <c r="S751" s="110"/>
      <c r="T751" s="110"/>
    </row>
    <row r="752" spans="1:20">
      <c r="A752" s="110" t="s">
        <v>44</v>
      </c>
      <c r="B752" s="110" t="s">
        <v>66</v>
      </c>
      <c r="C752" s="110">
        <v>10160</v>
      </c>
      <c r="D752" s="110">
        <v>26.900020000000001</v>
      </c>
      <c r="E752" s="110">
        <v>7142</v>
      </c>
      <c r="F752" s="110">
        <v>320.54000000000002</v>
      </c>
      <c r="G752" s="110">
        <v>0.82329195023842039</v>
      </c>
      <c r="H752" s="110">
        <v>1.598933670701115</v>
      </c>
      <c r="I752" s="110">
        <v>12328.369999999999</v>
      </c>
      <c r="J752" s="110">
        <v>374.68259999999998</v>
      </c>
      <c r="K752" s="110">
        <v>0.86424116127649475</v>
      </c>
      <c r="L752" s="110">
        <v>1.5455192408947265</v>
      </c>
      <c r="M752" s="110"/>
      <c r="N752" s="110"/>
      <c r="O752" s="110"/>
      <c r="P752" s="110"/>
      <c r="Q752" s="110">
        <v>2511.6714000000002</v>
      </c>
      <c r="R752" s="110"/>
      <c r="S752" s="110"/>
      <c r="T752" s="110"/>
    </row>
    <row r="753" spans="1:20">
      <c r="A753" s="110" t="s">
        <v>44</v>
      </c>
      <c r="B753" s="110" t="s">
        <v>66</v>
      </c>
      <c r="C753" s="110">
        <v>10160</v>
      </c>
      <c r="D753" s="110">
        <v>26.900020000000001</v>
      </c>
      <c r="E753" s="110">
        <v>7142</v>
      </c>
      <c r="F753" s="110">
        <v>320.54000000000002</v>
      </c>
      <c r="G753" s="110">
        <v>0.82329195023842039</v>
      </c>
      <c r="H753" s="110">
        <v>1.598933670701115</v>
      </c>
      <c r="I753" s="110">
        <v>12048.17</v>
      </c>
      <c r="J753" s="110">
        <v>373.39510000000001</v>
      </c>
      <c r="K753" s="110">
        <v>0.86310671695041596</v>
      </c>
      <c r="L753" s="110">
        <v>1.5470756474033156</v>
      </c>
      <c r="M753" s="110"/>
      <c r="N753" s="110"/>
      <c r="O753" s="110"/>
      <c r="P753" s="110"/>
      <c r="Q753" s="110">
        <v>2541.3134399999999</v>
      </c>
      <c r="R753" s="110"/>
      <c r="S753" s="110"/>
      <c r="T753" s="110"/>
    </row>
    <row r="754" spans="1:20">
      <c r="A754" s="110" t="s">
        <v>44</v>
      </c>
      <c r="B754" s="110" t="s">
        <v>66</v>
      </c>
      <c r="C754" s="110">
        <v>10160</v>
      </c>
      <c r="D754" s="110">
        <v>26.900020000000001</v>
      </c>
      <c r="E754" s="110">
        <v>7142</v>
      </c>
      <c r="F754" s="110">
        <v>320.54000000000002</v>
      </c>
      <c r="G754" s="110">
        <v>0.82329195023842039</v>
      </c>
      <c r="H754" s="110">
        <v>1.598933670701115</v>
      </c>
      <c r="I754" s="110">
        <v>11408.98</v>
      </c>
      <c r="J754" s="110">
        <v>370.48880000000003</v>
      </c>
      <c r="K754" s="110">
        <v>0.86279918484497387</v>
      </c>
      <c r="L754" s="110">
        <v>1.5287149030440874</v>
      </c>
      <c r="M754" s="110"/>
      <c r="N754" s="110"/>
      <c r="O754" s="110"/>
      <c r="P754" s="110"/>
      <c r="Q754" s="110">
        <v>2597.6613600000001</v>
      </c>
      <c r="R754" s="110"/>
      <c r="S754" s="110"/>
      <c r="T754" s="110"/>
    </row>
    <row r="755" spans="1:20">
      <c r="A755" s="110" t="s">
        <v>44</v>
      </c>
      <c r="B755" s="110" t="s">
        <v>66</v>
      </c>
      <c r="C755" s="110">
        <v>10160</v>
      </c>
      <c r="D755" s="110">
        <v>26.900020000000001</v>
      </c>
      <c r="E755" s="110">
        <v>7142</v>
      </c>
      <c r="F755" s="110">
        <v>320.54000000000002</v>
      </c>
      <c r="G755" s="110">
        <v>0.82329195023842039</v>
      </c>
      <c r="H755" s="110">
        <v>1.598933670701115</v>
      </c>
      <c r="I755" s="110">
        <v>11132.890000000001</v>
      </c>
      <c r="J755" s="110">
        <v>369.23169999999999</v>
      </c>
      <c r="K755" s="110">
        <v>0.86365680766849884</v>
      </c>
      <c r="L755" s="110">
        <v>1.5327271570448695</v>
      </c>
      <c r="M755" s="110"/>
      <c r="N755" s="110"/>
      <c r="O755" s="110"/>
      <c r="P755" s="110"/>
      <c r="Q755" s="110">
        <v>2619.55332</v>
      </c>
      <c r="R755" s="110"/>
      <c r="S755" s="110"/>
      <c r="T755" s="110"/>
    </row>
    <row r="756" spans="1:20">
      <c r="A756" s="110" t="s">
        <v>44</v>
      </c>
      <c r="B756" s="110" t="s">
        <v>66</v>
      </c>
      <c r="C756" s="110">
        <v>10160</v>
      </c>
      <c r="D756" s="110">
        <v>26.900020000000001</v>
      </c>
      <c r="E756" s="110">
        <v>7142</v>
      </c>
      <c r="F756" s="110">
        <v>320.54000000000002</v>
      </c>
      <c r="G756" s="110">
        <v>0.82329195023842039</v>
      </c>
      <c r="H756" s="110">
        <v>1.598933670701115</v>
      </c>
      <c r="I756" s="110">
        <v>10555.51</v>
      </c>
      <c r="J756" s="110">
        <v>366.53640000000001</v>
      </c>
      <c r="K756" s="110">
        <v>0.8617358489012259</v>
      </c>
      <c r="L756" s="110">
        <v>1.538184199096752</v>
      </c>
      <c r="M756" s="110"/>
      <c r="N756" s="110"/>
      <c r="O756" s="110"/>
      <c r="P756" s="110"/>
      <c r="Q756" s="110">
        <v>2662.56936</v>
      </c>
      <c r="R756" s="110"/>
      <c r="S756" s="110"/>
      <c r="T756" s="110"/>
    </row>
    <row r="757" spans="1:20">
      <c r="A757" s="110" t="s">
        <v>44</v>
      </c>
      <c r="B757" s="110" t="s">
        <v>66</v>
      </c>
      <c r="C757" s="110">
        <v>10160</v>
      </c>
      <c r="D757" s="110">
        <v>26.900020000000001</v>
      </c>
      <c r="E757" s="110">
        <v>7142</v>
      </c>
      <c r="F757" s="110">
        <v>320.54000000000002</v>
      </c>
      <c r="G757" s="110">
        <v>0.82329195023842039</v>
      </c>
      <c r="H757" s="110">
        <v>1.598933670701115</v>
      </c>
      <c r="I757" s="110">
        <v>10475.15</v>
      </c>
      <c r="J757" s="110">
        <v>366.1542</v>
      </c>
      <c r="K757" s="110">
        <v>0.86123549089548368</v>
      </c>
      <c r="L757" s="110">
        <v>1.5128395842656452</v>
      </c>
      <c r="M757" s="110"/>
      <c r="N757" s="110"/>
      <c r="O757" s="110"/>
      <c r="P757" s="110"/>
      <c r="Q757" s="110">
        <v>2668.23252</v>
      </c>
      <c r="R757" s="110"/>
      <c r="S757" s="110"/>
      <c r="T757" s="110"/>
    </row>
    <row r="758" spans="1:20">
      <c r="A758" s="110" t="s">
        <v>44</v>
      </c>
      <c r="B758" s="110" t="s">
        <v>66</v>
      </c>
      <c r="C758" s="110">
        <v>9525</v>
      </c>
      <c r="D758" s="110">
        <v>26.900020000000001</v>
      </c>
      <c r="E758" s="110">
        <v>7142</v>
      </c>
      <c r="F758" s="110">
        <v>320.54000000000002</v>
      </c>
      <c r="G758" s="110">
        <v>0.82329195023842039</v>
      </c>
      <c r="H758" s="110">
        <v>1.598933670701115</v>
      </c>
      <c r="I758" s="110">
        <v>14866.45</v>
      </c>
      <c r="J758" s="110">
        <v>388.84789999999998</v>
      </c>
      <c r="K758" s="110">
        <v>0.87473499715778169</v>
      </c>
      <c r="L758" s="110">
        <v>1.5485363628188347</v>
      </c>
      <c r="M758" s="110"/>
      <c r="N758" s="110"/>
      <c r="O758" s="110"/>
      <c r="P758" s="110"/>
      <c r="Q758" s="110">
        <v>1288.11708</v>
      </c>
      <c r="R758" s="110"/>
      <c r="S758" s="110"/>
      <c r="T758" s="110"/>
    </row>
    <row r="759" spans="1:20">
      <c r="A759" s="110" t="s">
        <v>44</v>
      </c>
      <c r="B759" s="110" t="s">
        <v>66</v>
      </c>
      <c r="C759" s="110">
        <v>9525</v>
      </c>
      <c r="D759" s="110">
        <v>26.900020000000001</v>
      </c>
      <c r="E759" s="110">
        <v>7142</v>
      </c>
      <c r="F759" s="110">
        <v>320.54000000000002</v>
      </c>
      <c r="G759" s="110">
        <v>0.82329195023842039</v>
      </c>
      <c r="H759" s="110">
        <v>1.598933670701115</v>
      </c>
      <c r="I759" s="110">
        <v>14844.33</v>
      </c>
      <c r="J759" s="110">
        <v>388.59530000000001</v>
      </c>
      <c r="K759" s="110">
        <v>0.8742526846260813</v>
      </c>
      <c r="L759" s="110">
        <v>1.5492741001204924</v>
      </c>
      <c r="M759" s="110"/>
      <c r="N759" s="110"/>
      <c r="O759" s="110"/>
      <c r="P759" s="110"/>
      <c r="Q759" s="110">
        <v>1306.8698400000001</v>
      </c>
      <c r="R759" s="110"/>
      <c r="S759" s="110"/>
      <c r="T759" s="110"/>
    </row>
    <row r="760" spans="1:20">
      <c r="A760" s="110" t="s">
        <v>44</v>
      </c>
      <c r="B760" s="110" t="s">
        <v>66</v>
      </c>
      <c r="C760" s="110">
        <v>9525</v>
      </c>
      <c r="D760" s="110">
        <v>26.900020000000001</v>
      </c>
      <c r="E760" s="110">
        <v>7142</v>
      </c>
      <c r="F760" s="110">
        <v>320.54000000000002</v>
      </c>
      <c r="G760" s="110">
        <v>0.82329195023842039</v>
      </c>
      <c r="H760" s="110">
        <v>1.598933670701115</v>
      </c>
      <c r="I760" s="110">
        <v>14828.36</v>
      </c>
      <c r="J760" s="110">
        <v>388.41800000000001</v>
      </c>
      <c r="K760" s="110">
        <v>0.87391081141420035</v>
      </c>
      <c r="L760" s="110">
        <v>1.5497856527132161</v>
      </c>
      <c r="M760" s="110"/>
      <c r="N760" s="110"/>
      <c r="O760" s="110"/>
      <c r="P760" s="110"/>
      <c r="Q760" s="110">
        <v>1319.91948</v>
      </c>
      <c r="R760" s="110"/>
      <c r="S760" s="110"/>
      <c r="T760" s="110"/>
    </row>
    <row r="761" spans="1:20">
      <c r="A761" s="110" t="s">
        <v>44</v>
      </c>
      <c r="B761" s="110" t="s">
        <v>66</v>
      </c>
      <c r="C761" s="110">
        <v>9525</v>
      </c>
      <c r="D761" s="110">
        <v>26.900020000000001</v>
      </c>
      <c r="E761" s="110">
        <v>7142</v>
      </c>
      <c r="F761" s="110">
        <v>320.54000000000002</v>
      </c>
      <c r="G761" s="110">
        <v>0.82329195023842039</v>
      </c>
      <c r="H761" s="110">
        <v>1.598933670701115</v>
      </c>
      <c r="I761" s="110">
        <v>14721.74</v>
      </c>
      <c r="J761" s="110">
        <v>387.33069999999998</v>
      </c>
      <c r="K761" s="110">
        <v>0.87174399765002064</v>
      </c>
      <c r="L761" s="110">
        <v>1.5527973993209578</v>
      </c>
      <c r="M761" s="110"/>
      <c r="N761" s="110"/>
      <c r="O761" s="110"/>
      <c r="P761" s="110"/>
      <c r="Q761" s="110">
        <v>1396.8414</v>
      </c>
      <c r="R761" s="110"/>
      <c r="S761" s="110"/>
      <c r="T761" s="110"/>
    </row>
    <row r="762" spans="1:20">
      <c r="A762" s="110" t="s">
        <v>44</v>
      </c>
      <c r="B762" s="110" t="s">
        <v>66</v>
      </c>
      <c r="C762" s="110">
        <v>9525</v>
      </c>
      <c r="D762" s="110">
        <v>26.900020000000001</v>
      </c>
      <c r="E762" s="110">
        <v>7142</v>
      </c>
      <c r="F762" s="110">
        <v>320.54000000000002</v>
      </c>
      <c r="G762" s="110">
        <v>0.82329195023842039</v>
      </c>
      <c r="H762" s="110">
        <v>1.598933670701115</v>
      </c>
      <c r="I762" s="110">
        <v>14531.24</v>
      </c>
      <c r="J762" s="110">
        <v>385.62419999999997</v>
      </c>
      <c r="K762" s="110">
        <v>0.86992783353768999</v>
      </c>
      <c r="L762" s="110">
        <v>1.5468675885258429</v>
      </c>
      <c r="M762" s="110"/>
      <c r="N762" s="110"/>
      <c r="O762" s="110"/>
      <c r="P762" s="110"/>
      <c r="Q762" s="110">
        <v>1511.5301999999999</v>
      </c>
      <c r="R762" s="110"/>
      <c r="S762" s="110"/>
      <c r="T762" s="110"/>
    </row>
    <row r="763" spans="1:20">
      <c r="A763" s="110" t="s">
        <v>44</v>
      </c>
      <c r="B763" s="110" t="s">
        <v>66</v>
      </c>
      <c r="C763" s="110">
        <v>9525</v>
      </c>
      <c r="D763" s="110">
        <v>26.900020000000001</v>
      </c>
      <c r="E763" s="110">
        <v>7142</v>
      </c>
      <c r="F763" s="110">
        <v>320.54000000000002</v>
      </c>
      <c r="G763" s="110">
        <v>0.82329195023842039</v>
      </c>
      <c r="H763" s="110">
        <v>1.598933670701115</v>
      </c>
      <c r="I763" s="110">
        <v>14242.21</v>
      </c>
      <c r="J763" s="110">
        <v>383.39010000000002</v>
      </c>
      <c r="K763" s="110">
        <v>0.86872656581837127</v>
      </c>
      <c r="L763" s="110">
        <v>1.5526680493371101</v>
      </c>
      <c r="M763" s="110"/>
      <c r="N763" s="110"/>
      <c r="O763" s="110"/>
      <c r="P763" s="110"/>
      <c r="Q763" s="110">
        <v>1654.00812</v>
      </c>
      <c r="R763" s="110"/>
      <c r="S763" s="110"/>
      <c r="T763" s="110"/>
    </row>
    <row r="764" spans="1:20">
      <c r="A764" s="110" t="s">
        <v>44</v>
      </c>
      <c r="B764" s="110" t="s">
        <v>66</v>
      </c>
      <c r="C764" s="110">
        <v>9525</v>
      </c>
      <c r="D764" s="110">
        <v>26.900020000000001</v>
      </c>
      <c r="E764" s="110">
        <v>7142</v>
      </c>
      <c r="F764" s="110">
        <v>320.54000000000002</v>
      </c>
      <c r="G764" s="110">
        <v>0.82329195023842039</v>
      </c>
      <c r="H764" s="110">
        <v>1.598933670701115</v>
      </c>
      <c r="I764" s="110">
        <v>13958.420000000002</v>
      </c>
      <c r="J764" s="110">
        <v>381.46660000000003</v>
      </c>
      <c r="K764" s="110">
        <v>0.8671204583570945</v>
      </c>
      <c r="L764" s="110">
        <v>1.557003975061261</v>
      </c>
      <c r="M764" s="110"/>
      <c r="N764" s="110"/>
      <c r="O764" s="110"/>
      <c r="P764" s="110"/>
      <c r="Q764" s="110">
        <v>1767.66264</v>
      </c>
      <c r="R764" s="110"/>
      <c r="S764" s="110"/>
      <c r="T764" s="110"/>
    </row>
    <row r="765" spans="1:20">
      <c r="A765" s="110" t="s">
        <v>44</v>
      </c>
      <c r="B765" s="110" t="s">
        <v>66</v>
      </c>
      <c r="C765" s="110">
        <v>9525</v>
      </c>
      <c r="D765" s="110">
        <v>26.900020000000001</v>
      </c>
      <c r="E765" s="110">
        <v>7142</v>
      </c>
      <c r="F765" s="110">
        <v>320.54000000000002</v>
      </c>
      <c r="G765" s="110">
        <v>0.82329195023842039</v>
      </c>
      <c r="H765" s="110">
        <v>1.598933670701115</v>
      </c>
      <c r="I765" s="110">
        <v>13673.140000000001</v>
      </c>
      <c r="J765" s="110">
        <v>379.68810000000002</v>
      </c>
      <c r="K765" s="110">
        <v>0.86504892436657743</v>
      </c>
      <c r="L765" s="110">
        <v>1.560733577131715</v>
      </c>
      <c r="M765" s="110"/>
      <c r="N765" s="110"/>
      <c r="O765" s="110"/>
      <c r="P765" s="110"/>
      <c r="Q765" s="110">
        <v>1865.0782799999999</v>
      </c>
      <c r="R765" s="110"/>
      <c r="S765" s="110"/>
      <c r="T765" s="110"/>
    </row>
    <row r="766" spans="1:20">
      <c r="A766" s="110" t="s">
        <v>44</v>
      </c>
      <c r="B766" s="110" t="s">
        <v>66</v>
      </c>
      <c r="C766" s="110">
        <v>9525</v>
      </c>
      <c r="D766" s="110">
        <v>26.900020000000001</v>
      </c>
      <c r="E766" s="110">
        <v>7142</v>
      </c>
      <c r="F766" s="110">
        <v>320.54000000000002</v>
      </c>
      <c r="G766" s="110">
        <v>0.82329195023842039</v>
      </c>
      <c r="H766" s="110">
        <v>1.598933670701115</v>
      </c>
      <c r="I766" s="110">
        <v>13063.26</v>
      </c>
      <c r="J766" s="110">
        <v>376.19929999999999</v>
      </c>
      <c r="K766" s="110">
        <v>0.85942571936889289</v>
      </c>
      <c r="L766" s="110">
        <v>1.5502644004114783</v>
      </c>
      <c r="M766" s="110"/>
      <c r="N766" s="110"/>
      <c r="O766" s="110"/>
      <c r="P766" s="110"/>
      <c r="Q766" s="110">
        <v>2030.4813600000002</v>
      </c>
      <c r="R766" s="110"/>
      <c r="S766" s="110"/>
      <c r="T766" s="110"/>
    </row>
    <row r="767" spans="1:20">
      <c r="A767" s="110" t="s">
        <v>44</v>
      </c>
      <c r="B767" s="110" t="s">
        <v>66</v>
      </c>
      <c r="C767" s="110">
        <v>9525</v>
      </c>
      <c r="D767" s="110">
        <v>26.900020000000001</v>
      </c>
      <c r="E767" s="110">
        <v>7142</v>
      </c>
      <c r="F767" s="110">
        <v>320.54000000000002</v>
      </c>
      <c r="G767" s="110">
        <v>0.82329195023842039</v>
      </c>
      <c r="H767" s="110">
        <v>1.598933670701115</v>
      </c>
      <c r="I767" s="110">
        <v>12359.16</v>
      </c>
      <c r="J767" s="110">
        <v>372.50920000000002</v>
      </c>
      <c r="K767" s="110">
        <v>0.8600404261100606</v>
      </c>
      <c r="L767" s="110">
        <v>1.5569611039165243</v>
      </c>
      <c r="M767" s="110"/>
      <c r="N767" s="110"/>
      <c r="O767" s="110"/>
      <c r="P767" s="110"/>
      <c r="Q767" s="110">
        <v>2171.1423599999998</v>
      </c>
      <c r="R767" s="110"/>
      <c r="S767" s="110"/>
      <c r="T767" s="110"/>
    </row>
    <row r="768" spans="1:20">
      <c r="A768" s="110" t="s">
        <v>44</v>
      </c>
      <c r="B768" s="110" t="s">
        <v>66</v>
      </c>
      <c r="C768" s="110">
        <v>9525</v>
      </c>
      <c r="D768" s="110">
        <v>26.900020000000001</v>
      </c>
      <c r="E768" s="110">
        <v>7142</v>
      </c>
      <c r="F768" s="110">
        <v>320.54000000000002</v>
      </c>
      <c r="G768" s="110">
        <v>0.82329195023842039</v>
      </c>
      <c r="H768" s="110">
        <v>1.598933670701115</v>
      </c>
      <c r="I768" s="110">
        <v>11485.15</v>
      </c>
      <c r="J768" s="110">
        <v>368.21429999999998</v>
      </c>
      <c r="K768" s="110">
        <v>0.85750120139195829</v>
      </c>
      <c r="L768" s="110">
        <v>1.540225453010003</v>
      </c>
      <c r="M768" s="110"/>
      <c r="N768" s="110"/>
      <c r="O768" s="110"/>
      <c r="P768" s="110"/>
      <c r="Q768" s="110">
        <v>2295.6645600000002</v>
      </c>
      <c r="R768" s="110"/>
      <c r="S768" s="110"/>
      <c r="T768" s="110"/>
    </row>
    <row r="769" spans="1:20">
      <c r="A769" s="110" t="s">
        <v>44</v>
      </c>
      <c r="B769" s="110" t="s">
        <v>66</v>
      </c>
      <c r="C769" s="110">
        <v>9525</v>
      </c>
      <c r="D769" s="110">
        <v>26.900020000000001</v>
      </c>
      <c r="E769" s="110">
        <v>7142</v>
      </c>
      <c r="F769" s="110">
        <v>320.54000000000002</v>
      </c>
      <c r="G769" s="110">
        <v>0.82329195023842039</v>
      </c>
      <c r="H769" s="110">
        <v>1.598933670701115</v>
      </c>
      <c r="I769" s="110">
        <v>10379.799999999999</v>
      </c>
      <c r="J769" s="110">
        <v>362.83789999999999</v>
      </c>
      <c r="K769" s="110">
        <v>0.85730081507637912</v>
      </c>
      <c r="L769" s="110">
        <v>1.5265761475784125</v>
      </c>
      <c r="M769" s="110"/>
      <c r="N769" s="110"/>
      <c r="O769" s="110"/>
      <c r="P769" s="110"/>
      <c r="Q769" s="110">
        <v>2408.5864799999999</v>
      </c>
      <c r="R769" s="110"/>
      <c r="S769" s="110"/>
      <c r="T769" s="110"/>
    </row>
    <row r="770" spans="1:20">
      <c r="A770" s="110" t="s">
        <v>44</v>
      </c>
      <c r="B770" s="110" t="s">
        <v>66</v>
      </c>
      <c r="C770" s="110">
        <v>9525</v>
      </c>
      <c r="D770" s="110">
        <v>26.900020000000001</v>
      </c>
      <c r="E770" s="110">
        <v>7142</v>
      </c>
      <c r="F770" s="110">
        <v>320.54000000000002</v>
      </c>
      <c r="G770" s="110">
        <v>0.82329195023842039</v>
      </c>
      <c r="H770" s="110">
        <v>1.598933670701115</v>
      </c>
      <c r="I770" s="110">
        <v>10155.41</v>
      </c>
      <c r="J770" s="110">
        <v>361.73950000000002</v>
      </c>
      <c r="K770" s="110">
        <v>0.85917742079258996</v>
      </c>
      <c r="L770" s="110">
        <v>1.5284982524478226</v>
      </c>
      <c r="M770" s="110"/>
      <c r="N770" s="110"/>
      <c r="O770" s="110"/>
      <c r="P770" s="110"/>
      <c r="Q770" s="110">
        <v>2427.76188</v>
      </c>
      <c r="R770" s="110"/>
      <c r="S770" s="110"/>
      <c r="T770" s="110"/>
    </row>
    <row r="771" spans="1:20">
      <c r="A771" s="110" t="s">
        <v>44</v>
      </c>
      <c r="B771" s="110" t="s">
        <v>66</v>
      </c>
      <c r="C771" s="110">
        <v>9525</v>
      </c>
      <c r="D771" s="110">
        <v>26.900020000000001</v>
      </c>
      <c r="E771" s="110">
        <v>7142</v>
      </c>
      <c r="F771" s="110">
        <v>320.54000000000002</v>
      </c>
      <c r="G771" s="110">
        <v>0.82329195023842039</v>
      </c>
      <c r="H771" s="110">
        <v>1.598933670701115</v>
      </c>
      <c r="I771" s="110">
        <v>10114.050000000001</v>
      </c>
      <c r="J771" s="110">
        <v>361.53609999999998</v>
      </c>
      <c r="K771" s="110">
        <v>0.85942076881769924</v>
      </c>
      <c r="L771" s="110">
        <v>1.5288647053855184</v>
      </c>
      <c r="M771" s="110"/>
      <c r="N771" s="110"/>
      <c r="O771" s="110"/>
      <c r="P771" s="110"/>
      <c r="Q771" s="110">
        <v>2431.1685600000001</v>
      </c>
      <c r="R771" s="110"/>
      <c r="S771" s="110"/>
      <c r="T771" s="110"/>
    </row>
    <row r="772" spans="1:20">
      <c r="A772" s="110" t="s">
        <v>44</v>
      </c>
      <c r="B772" s="110" t="s">
        <v>66</v>
      </c>
      <c r="C772" s="110">
        <v>9525</v>
      </c>
      <c r="D772" s="110">
        <v>26.900020000000001</v>
      </c>
      <c r="E772" s="110">
        <v>7142</v>
      </c>
      <c r="F772" s="110">
        <v>320.54000000000002</v>
      </c>
      <c r="G772" s="110">
        <v>0.82329195023842039</v>
      </c>
      <c r="H772" s="110">
        <v>1.598933670701115</v>
      </c>
      <c r="I772" s="110">
        <v>10004.900000000001</v>
      </c>
      <c r="J772" s="110">
        <v>360.9975</v>
      </c>
      <c r="K772" s="110">
        <v>0.85990908042508474</v>
      </c>
      <c r="L772" s="110">
        <v>1.5298536005169965</v>
      </c>
      <c r="M772" s="110"/>
      <c r="N772" s="110"/>
      <c r="O772" s="110"/>
      <c r="P772" s="110"/>
      <c r="Q772" s="110">
        <v>2439.9766799999998</v>
      </c>
      <c r="R772" s="110"/>
      <c r="S772" s="110"/>
      <c r="T772" s="110"/>
    </row>
    <row r="773" spans="1:20">
      <c r="A773" s="110" t="s">
        <v>44</v>
      </c>
      <c r="B773" s="110" t="s">
        <v>66</v>
      </c>
      <c r="C773" s="110">
        <v>8890</v>
      </c>
      <c r="D773" s="110">
        <v>26.900020000000001</v>
      </c>
      <c r="E773" s="110">
        <v>7142</v>
      </c>
      <c r="F773" s="110">
        <v>320.54000000000002</v>
      </c>
      <c r="G773" s="110">
        <v>0.82329195023842039</v>
      </c>
      <c r="H773" s="110">
        <v>1.598933670701115</v>
      </c>
      <c r="I773" s="110">
        <v>13582.720000000001</v>
      </c>
      <c r="J773" s="110">
        <v>380.7473</v>
      </c>
      <c r="K773" s="110">
        <v>0.86719102609954923</v>
      </c>
      <c r="L773" s="110">
        <v>1.5542963545348416</v>
      </c>
      <c r="M773" s="110"/>
      <c r="N773" s="110"/>
      <c r="O773" s="110"/>
      <c r="P773" s="110"/>
      <c r="Q773" s="110">
        <v>1186.60176</v>
      </c>
      <c r="R773" s="110"/>
      <c r="S773" s="110"/>
      <c r="T773" s="110"/>
    </row>
    <row r="774" spans="1:20">
      <c r="A774" s="110" t="s">
        <v>44</v>
      </c>
      <c r="B774" s="110" t="s">
        <v>66</v>
      </c>
      <c r="C774" s="110">
        <v>8890</v>
      </c>
      <c r="D774" s="110">
        <v>26.900020000000001</v>
      </c>
      <c r="E774" s="110">
        <v>7142</v>
      </c>
      <c r="F774" s="110">
        <v>320.54000000000002</v>
      </c>
      <c r="G774" s="110">
        <v>0.82329195023842039</v>
      </c>
      <c r="H774" s="110">
        <v>1.598933670701115</v>
      </c>
      <c r="I774" s="110">
        <v>13565.16</v>
      </c>
      <c r="J774" s="110">
        <v>380.53879999999998</v>
      </c>
      <c r="K774" s="110">
        <v>0.86684494304201687</v>
      </c>
      <c r="L774" s="110">
        <v>1.5549834405088687</v>
      </c>
      <c r="M774" s="110"/>
      <c r="N774" s="110"/>
      <c r="O774" s="110"/>
      <c r="P774" s="110"/>
      <c r="Q774" s="110">
        <v>1201.2699599999999</v>
      </c>
      <c r="R774" s="110"/>
      <c r="S774" s="110"/>
      <c r="T774" s="110"/>
    </row>
    <row r="775" spans="1:20">
      <c r="A775" s="110" t="s">
        <v>44</v>
      </c>
      <c r="B775" s="110" t="s">
        <v>66</v>
      </c>
      <c r="C775" s="110">
        <v>8890</v>
      </c>
      <c r="D775" s="110">
        <v>26.900020000000001</v>
      </c>
      <c r="E775" s="110">
        <v>7142</v>
      </c>
      <c r="F775" s="110">
        <v>320.54000000000002</v>
      </c>
      <c r="G775" s="110">
        <v>0.82329195023842039</v>
      </c>
      <c r="H775" s="110">
        <v>1.598933670701115</v>
      </c>
      <c r="I775" s="110">
        <v>13555.539999999999</v>
      </c>
      <c r="J775" s="110">
        <v>380.4298</v>
      </c>
      <c r="K775" s="110">
        <v>0.86666361596336938</v>
      </c>
      <c r="L775" s="110">
        <v>1.5553361266321444</v>
      </c>
      <c r="M775" s="110"/>
      <c r="N775" s="110"/>
      <c r="O775" s="110"/>
      <c r="P775" s="110"/>
      <c r="Q775" s="110">
        <v>1208.6038800000001</v>
      </c>
      <c r="R775" s="110"/>
      <c r="S775" s="110"/>
      <c r="T775" s="110"/>
    </row>
    <row r="776" spans="1:20">
      <c r="A776" s="110" t="s">
        <v>44</v>
      </c>
      <c r="B776" s="110" t="s">
        <v>66</v>
      </c>
      <c r="C776" s="110">
        <v>8890</v>
      </c>
      <c r="D776" s="110">
        <v>26.900020000000001</v>
      </c>
      <c r="E776" s="110">
        <v>7142</v>
      </c>
      <c r="F776" s="110">
        <v>320.54000000000002</v>
      </c>
      <c r="G776" s="110">
        <v>0.82329195023842039</v>
      </c>
      <c r="H776" s="110">
        <v>1.598933670701115</v>
      </c>
      <c r="I776" s="110">
        <v>13520.96</v>
      </c>
      <c r="J776" s="110">
        <v>380.041</v>
      </c>
      <c r="K776" s="110">
        <v>0.86601029456680867</v>
      </c>
      <c r="L776" s="110">
        <v>1.5565936776741351</v>
      </c>
      <c r="M776" s="110"/>
      <c r="N776" s="110"/>
      <c r="O776" s="110"/>
      <c r="P776" s="110"/>
      <c r="Q776" s="110">
        <v>1235.4584400000001</v>
      </c>
      <c r="R776" s="110"/>
      <c r="S776" s="110"/>
      <c r="T776" s="110"/>
    </row>
    <row r="777" spans="1:20">
      <c r="A777" s="110" t="s">
        <v>44</v>
      </c>
      <c r="B777" s="110" t="s">
        <v>66</v>
      </c>
      <c r="C777" s="110">
        <v>8890</v>
      </c>
      <c r="D777" s="110">
        <v>26.900020000000001</v>
      </c>
      <c r="E777" s="110">
        <v>7142</v>
      </c>
      <c r="F777" s="110">
        <v>320.54000000000002</v>
      </c>
      <c r="G777" s="110">
        <v>0.82329195023842039</v>
      </c>
      <c r="H777" s="110">
        <v>1.598933670701115</v>
      </c>
      <c r="I777" s="110">
        <v>13346.44</v>
      </c>
      <c r="J777" s="110">
        <v>378.28289999999998</v>
      </c>
      <c r="K777" s="110">
        <v>0.86291789970619814</v>
      </c>
      <c r="L777" s="110">
        <v>1.562052117509986</v>
      </c>
      <c r="M777" s="110"/>
      <c r="N777" s="110"/>
      <c r="O777" s="110"/>
      <c r="P777" s="110"/>
      <c r="Q777" s="110">
        <v>1353.36636</v>
      </c>
      <c r="R777" s="110"/>
      <c r="S777" s="110"/>
      <c r="T777" s="110"/>
    </row>
    <row r="778" spans="1:20">
      <c r="A778" s="110" t="s">
        <v>44</v>
      </c>
      <c r="B778" s="110" t="s">
        <v>66</v>
      </c>
      <c r="C778" s="110">
        <v>8890</v>
      </c>
      <c r="D778" s="110">
        <v>26.900020000000001</v>
      </c>
      <c r="E778" s="110">
        <v>7142</v>
      </c>
      <c r="F778" s="110">
        <v>320.54000000000002</v>
      </c>
      <c r="G778" s="110">
        <v>0.82329195023842039</v>
      </c>
      <c r="H778" s="110">
        <v>1.598933670701115</v>
      </c>
      <c r="I778" s="110">
        <v>13153.51</v>
      </c>
      <c r="J778" s="110">
        <v>376.59550000000002</v>
      </c>
      <c r="K778" s="110">
        <v>0.85964558305669525</v>
      </c>
      <c r="L778" s="110">
        <v>1.5669658041976482</v>
      </c>
      <c r="M778" s="110"/>
      <c r="N778" s="110"/>
      <c r="O778" s="110"/>
      <c r="P778" s="110"/>
      <c r="Q778" s="110">
        <v>1461.1658400000001</v>
      </c>
      <c r="R778" s="110"/>
      <c r="S778" s="110"/>
      <c r="T778" s="110"/>
    </row>
    <row r="779" spans="1:20">
      <c r="A779" s="110" t="s">
        <v>44</v>
      </c>
      <c r="B779" s="110" t="s">
        <v>66</v>
      </c>
      <c r="C779" s="110">
        <v>8890</v>
      </c>
      <c r="D779" s="110">
        <v>26.900020000000001</v>
      </c>
      <c r="E779" s="110">
        <v>7142</v>
      </c>
      <c r="F779" s="110">
        <v>320.54000000000002</v>
      </c>
      <c r="G779" s="110">
        <v>0.82329195023842039</v>
      </c>
      <c r="H779" s="110">
        <v>1.598933670701115</v>
      </c>
      <c r="I779" s="110">
        <v>13046.39</v>
      </c>
      <c r="J779" s="110">
        <v>375.73860000000002</v>
      </c>
      <c r="K779" s="110">
        <v>0.85883606915967492</v>
      </c>
      <c r="L779" s="110">
        <v>1.552263034184745</v>
      </c>
      <c r="M779" s="110"/>
      <c r="N779" s="110"/>
      <c r="O779" s="110"/>
      <c r="P779" s="110"/>
      <c r="Q779" s="110">
        <v>1512.828</v>
      </c>
      <c r="R779" s="110"/>
      <c r="S779" s="110"/>
      <c r="T779" s="110"/>
    </row>
    <row r="780" spans="1:20">
      <c r="A780" s="110" t="s">
        <v>44</v>
      </c>
      <c r="B780" s="110" t="s">
        <v>66</v>
      </c>
      <c r="C780" s="110">
        <v>8890</v>
      </c>
      <c r="D780" s="110">
        <v>26.900020000000001</v>
      </c>
      <c r="E780" s="110">
        <v>7142</v>
      </c>
      <c r="F780" s="110">
        <v>320.54000000000002</v>
      </c>
      <c r="G780" s="110">
        <v>0.82329195023842039</v>
      </c>
      <c r="H780" s="110">
        <v>1.598933670701115</v>
      </c>
      <c r="I780" s="110">
        <v>12848.830000000002</v>
      </c>
      <c r="J780" s="110">
        <v>374.26159999999999</v>
      </c>
      <c r="K780" s="110">
        <v>0.85880041875724733</v>
      </c>
      <c r="L780" s="110">
        <v>1.5564145392822046</v>
      </c>
      <c r="M780" s="110"/>
      <c r="N780" s="110"/>
      <c r="O780" s="110"/>
      <c r="P780" s="110"/>
      <c r="Q780" s="110">
        <v>1599.6812400000001</v>
      </c>
      <c r="R780" s="110"/>
      <c r="S780" s="110"/>
      <c r="T780" s="110"/>
    </row>
    <row r="781" spans="1:20">
      <c r="A781" s="110" t="s">
        <v>44</v>
      </c>
      <c r="B781" s="110" t="s">
        <v>66</v>
      </c>
      <c r="C781" s="110">
        <v>8890</v>
      </c>
      <c r="D781" s="110">
        <v>26.900020000000001</v>
      </c>
      <c r="E781" s="110">
        <v>7142</v>
      </c>
      <c r="F781" s="110">
        <v>320.54000000000002</v>
      </c>
      <c r="G781" s="110">
        <v>0.82329195023842039</v>
      </c>
      <c r="H781" s="110">
        <v>1.598933670701115</v>
      </c>
      <c r="I781" s="110">
        <v>12730.45</v>
      </c>
      <c r="J781" s="110">
        <v>373.43880000000001</v>
      </c>
      <c r="K781" s="110">
        <v>0.8586422272653651</v>
      </c>
      <c r="L781" s="110">
        <v>1.5585722223065277</v>
      </c>
      <c r="M781" s="110"/>
      <c r="N781" s="110"/>
      <c r="O781" s="110"/>
      <c r="P781" s="110"/>
      <c r="Q781" s="110">
        <v>1645.5031200000001</v>
      </c>
      <c r="R781" s="110"/>
      <c r="S781" s="110"/>
      <c r="T781" s="110"/>
    </row>
    <row r="782" spans="1:20">
      <c r="A782" s="110" t="s">
        <v>44</v>
      </c>
      <c r="B782" s="110" t="s">
        <v>66</v>
      </c>
      <c r="C782" s="110">
        <v>8890</v>
      </c>
      <c r="D782" s="110">
        <v>26.900020000000001</v>
      </c>
      <c r="E782" s="110">
        <v>7142</v>
      </c>
      <c r="F782" s="110">
        <v>320.54000000000002</v>
      </c>
      <c r="G782" s="110">
        <v>0.82329195023842039</v>
      </c>
      <c r="H782" s="110">
        <v>1.598933670701115</v>
      </c>
      <c r="I782" s="110">
        <v>12523.369999999999</v>
      </c>
      <c r="J782" s="110">
        <v>372.07839999999999</v>
      </c>
      <c r="K782" s="110">
        <v>0.85798644938708257</v>
      </c>
      <c r="L782" s="110">
        <v>1.5618791646335044</v>
      </c>
      <c r="M782" s="110"/>
      <c r="N782" s="110"/>
      <c r="O782" s="110"/>
      <c r="P782" s="110"/>
      <c r="Q782" s="110">
        <v>1717.5286799999999</v>
      </c>
      <c r="R782" s="110"/>
      <c r="S782" s="110"/>
      <c r="T782" s="110"/>
    </row>
    <row r="783" spans="1:20">
      <c r="A783" s="110" t="s">
        <v>44</v>
      </c>
      <c r="B783" s="110" t="s">
        <v>66</v>
      </c>
      <c r="C783" s="110">
        <v>8890</v>
      </c>
      <c r="D783" s="110">
        <v>26.900020000000001</v>
      </c>
      <c r="E783" s="110">
        <v>7142</v>
      </c>
      <c r="F783" s="110">
        <v>320.54000000000002</v>
      </c>
      <c r="G783" s="110">
        <v>0.82329195023842039</v>
      </c>
      <c r="H783" s="110">
        <v>1.598933670701115</v>
      </c>
      <c r="I783" s="110">
        <v>12411.51</v>
      </c>
      <c r="J783" s="110">
        <v>371.37540000000001</v>
      </c>
      <c r="K783" s="110">
        <v>0.85749162164917447</v>
      </c>
      <c r="L783" s="110">
        <v>1.5635417318456946</v>
      </c>
      <c r="M783" s="110"/>
      <c r="N783" s="110"/>
      <c r="O783" s="110"/>
      <c r="P783" s="110"/>
      <c r="Q783" s="110">
        <v>1752.9598800000001</v>
      </c>
      <c r="R783" s="110"/>
      <c r="S783" s="110"/>
      <c r="T783" s="110"/>
    </row>
    <row r="784" spans="1:20">
      <c r="A784" s="110" t="s">
        <v>44</v>
      </c>
      <c r="B784" s="110" t="s">
        <v>66</v>
      </c>
      <c r="C784" s="110">
        <v>8890</v>
      </c>
      <c r="D784" s="110">
        <v>26.900020000000001</v>
      </c>
      <c r="E784" s="110">
        <v>7142</v>
      </c>
      <c r="F784" s="110">
        <v>320.54000000000002</v>
      </c>
      <c r="G784" s="110">
        <v>0.82329195023842039</v>
      </c>
      <c r="H784" s="110">
        <v>1.598933670701115</v>
      </c>
      <c r="I784" s="110">
        <v>12038.22</v>
      </c>
      <c r="J784" s="110">
        <v>369.17320000000001</v>
      </c>
      <c r="K784" s="110">
        <v>0.85509143417722355</v>
      </c>
      <c r="L784" s="110">
        <v>1.5684970386039885</v>
      </c>
      <c r="M784" s="110"/>
      <c r="N784" s="110"/>
      <c r="O784" s="110"/>
      <c r="P784" s="110"/>
      <c r="Q784" s="110">
        <v>1853.6666400000001</v>
      </c>
      <c r="R784" s="110"/>
      <c r="S784" s="110"/>
      <c r="T784" s="110"/>
    </row>
    <row r="785" spans="1:20">
      <c r="A785" s="110" t="s">
        <v>44</v>
      </c>
      <c r="B785" s="110" t="s">
        <v>66</v>
      </c>
      <c r="C785" s="110">
        <v>8890</v>
      </c>
      <c r="D785" s="110">
        <v>26.900020000000001</v>
      </c>
      <c r="E785" s="110">
        <v>7142</v>
      </c>
      <c r="F785" s="110">
        <v>320.54000000000002</v>
      </c>
      <c r="G785" s="110">
        <v>0.82329195023842039</v>
      </c>
      <c r="H785" s="110">
        <v>1.598933670701115</v>
      </c>
      <c r="I785" s="110">
        <v>11853.18</v>
      </c>
      <c r="J785" s="110">
        <v>368.12709999999998</v>
      </c>
      <c r="K785" s="110">
        <v>0.85340397024065373</v>
      </c>
      <c r="L785" s="110">
        <v>1.5707834904143001</v>
      </c>
      <c r="M785" s="110"/>
      <c r="N785" s="110"/>
      <c r="O785" s="110"/>
      <c r="P785" s="110"/>
      <c r="Q785" s="110">
        <v>1897.0952400000001</v>
      </c>
      <c r="R785" s="110"/>
      <c r="S785" s="110"/>
      <c r="T785" s="110"/>
    </row>
    <row r="786" spans="1:20">
      <c r="A786" s="110" t="s">
        <v>44</v>
      </c>
      <c r="B786" s="110" t="s">
        <v>66</v>
      </c>
      <c r="C786" s="110">
        <v>8890</v>
      </c>
      <c r="D786" s="110">
        <v>26.900020000000001</v>
      </c>
      <c r="E786" s="110">
        <v>7142</v>
      </c>
      <c r="F786" s="110">
        <v>320.54000000000002</v>
      </c>
      <c r="G786" s="110">
        <v>0.82329195023842039</v>
      </c>
      <c r="H786" s="110">
        <v>1.598933670701115</v>
      </c>
      <c r="I786" s="110">
        <v>11436.89</v>
      </c>
      <c r="J786" s="110">
        <v>365.84820000000002</v>
      </c>
      <c r="K786" s="110">
        <v>0.85376955674959054</v>
      </c>
      <c r="L786" s="110">
        <v>1.5519145687865659</v>
      </c>
      <c r="M786" s="110"/>
      <c r="N786" s="110"/>
      <c r="O786" s="110"/>
      <c r="P786" s="110"/>
      <c r="Q786" s="110">
        <v>1980.5990400000003</v>
      </c>
      <c r="R786" s="110"/>
      <c r="S786" s="110"/>
      <c r="T786" s="110"/>
    </row>
    <row r="787" spans="1:20">
      <c r="A787" s="110" t="s">
        <v>44</v>
      </c>
      <c r="B787" s="110" t="s">
        <v>66</v>
      </c>
      <c r="C787" s="110">
        <v>8890</v>
      </c>
      <c r="D787" s="110">
        <v>26.900020000000001</v>
      </c>
      <c r="E787" s="110">
        <v>7142</v>
      </c>
      <c r="F787" s="110">
        <v>320.54000000000002</v>
      </c>
      <c r="G787" s="110">
        <v>0.82329195023842039</v>
      </c>
      <c r="H787" s="110">
        <v>1.598933670701115</v>
      </c>
      <c r="I787" s="110">
        <v>11227.79</v>
      </c>
      <c r="J787" s="110">
        <v>364.73169999999999</v>
      </c>
      <c r="K787" s="110">
        <v>0.85438567412028632</v>
      </c>
      <c r="L787" s="110">
        <v>1.5541486658109929</v>
      </c>
      <c r="M787" s="110"/>
      <c r="N787" s="110"/>
      <c r="O787" s="110"/>
      <c r="P787" s="110"/>
      <c r="Q787" s="110">
        <v>2017.2056399999999</v>
      </c>
      <c r="R787" s="110"/>
      <c r="S787" s="110"/>
      <c r="T787" s="110"/>
    </row>
    <row r="788" spans="1:20">
      <c r="A788" s="110" t="s">
        <v>44</v>
      </c>
      <c r="B788" s="110" t="s">
        <v>66</v>
      </c>
      <c r="C788" s="110">
        <v>8890</v>
      </c>
      <c r="D788" s="110">
        <v>26.900020000000001</v>
      </c>
      <c r="E788" s="110">
        <v>7142</v>
      </c>
      <c r="F788" s="110">
        <v>320.54000000000002</v>
      </c>
      <c r="G788" s="110">
        <v>0.82329195023842039</v>
      </c>
      <c r="H788" s="110">
        <v>1.598933670701115</v>
      </c>
      <c r="I788" s="110">
        <v>10811.17</v>
      </c>
      <c r="J788" s="110">
        <v>362.53710000000001</v>
      </c>
      <c r="K788" s="110">
        <v>0.85368458712266859</v>
      </c>
      <c r="L788" s="110">
        <v>1.5584405201384506</v>
      </c>
      <c r="M788" s="110"/>
      <c r="N788" s="110"/>
      <c r="O788" s="110"/>
      <c r="P788" s="110"/>
      <c r="Q788" s="110">
        <v>2081.6542799999997</v>
      </c>
      <c r="R788" s="110"/>
      <c r="S788" s="110"/>
      <c r="T788" s="110"/>
    </row>
    <row r="789" spans="1:20">
      <c r="A789" s="110" t="s">
        <v>44</v>
      </c>
      <c r="B789" s="110" t="s">
        <v>66</v>
      </c>
      <c r="C789" s="110">
        <v>8890</v>
      </c>
      <c r="D789" s="110">
        <v>26.900020000000001</v>
      </c>
      <c r="E789" s="110">
        <v>7142</v>
      </c>
      <c r="F789" s="110">
        <v>320.54000000000002</v>
      </c>
      <c r="G789" s="110">
        <v>0.82329195023842039</v>
      </c>
      <c r="H789" s="110">
        <v>1.598933670701115</v>
      </c>
      <c r="I789" s="110">
        <v>10579.699999999999</v>
      </c>
      <c r="J789" s="110">
        <v>361.34120000000001</v>
      </c>
      <c r="K789" s="110">
        <v>0.85211988295168362</v>
      </c>
      <c r="L789" s="110">
        <v>1.5607399329183815</v>
      </c>
      <c r="M789" s="110"/>
      <c r="N789" s="110"/>
      <c r="O789" s="110"/>
      <c r="P789" s="110"/>
      <c r="Q789" s="110">
        <v>2111.9965199999997</v>
      </c>
      <c r="R789" s="110"/>
      <c r="S789" s="110"/>
      <c r="T789" s="110"/>
    </row>
    <row r="790" spans="1:20">
      <c r="A790" s="110" t="s">
        <v>44</v>
      </c>
      <c r="B790" s="110" t="s">
        <v>66</v>
      </c>
      <c r="C790" s="110">
        <v>8890</v>
      </c>
      <c r="D790" s="110">
        <v>26.900020000000001</v>
      </c>
      <c r="E790" s="110">
        <v>7142</v>
      </c>
      <c r="F790" s="110">
        <v>320.54000000000002</v>
      </c>
      <c r="G790" s="110">
        <v>0.82329195023842039</v>
      </c>
      <c r="H790" s="110">
        <v>1.598933670701115</v>
      </c>
      <c r="I790" s="110">
        <v>10184.94</v>
      </c>
      <c r="J790" s="110">
        <v>359.30520000000001</v>
      </c>
      <c r="K790" s="110">
        <v>0.85402542307296314</v>
      </c>
      <c r="L790" s="110">
        <v>1.5354411279757896</v>
      </c>
      <c r="M790" s="110"/>
      <c r="N790" s="110"/>
      <c r="O790" s="110"/>
      <c r="P790" s="110"/>
      <c r="Q790" s="110">
        <v>2159.0362799999998</v>
      </c>
      <c r="R790" s="110"/>
      <c r="S790" s="110"/>
      <c r="T790" s="110"/>
    </row>
    <row r="791" spans="1:20">
      <c r="A791" s="110" t="s">
        <v>44</v>
      </c>
      <c r="B791" s="110" t="s">
        <v>66</v>
      </c>
      <c r="C791" s="110">
        <v>8890</v>
      </c>
      <c r="D791" s="110">
        <v>26.900020000000001</v>
      </c>
      <c r="E791" s="110">
        <v>7142</v>
      </c>
      <c r="F791" s="110">
        <v>320.54000000000002</v>
      </c>
      <c r="G791" s="110">
        <v>0.82329195023842039</v>
      </c>
      <c r="H791" s="110">
        <v>1.598933670701115</v>
      </c>
      <c r="I791" s="110">
        <v>9957.9669999999987</v>
      </c>
      <c r="J791" s="110">
        <v>358.13569999999999</v>
      </c>
      <c r="K791" s="110">
        <v>0.8550661978934625</v>
      </c>
      <c r="L791" s="110">
        <v>1.5399338097446045</v>
      </c>
      <c r="M791" s="110"/>
      <c r="N791" s="110"/>
      <c r="O791" s="110"/>
      <c r="P791" s="110"/>
      <c r="Q791" s="110">
        <v>2183.9936399999997</v>
      </c>
      <c r="R791" s="110"/>
      <c r="S791" s="110"/>
      <c r="T791" s="110"/>
    </row>
    <row r="792" spans="1:20">
      <c r="A792" s="110" t="s">
        <v>44</v>
      </c>
      <c r="B792" s="110" t="s">
        <v>66</v>
      </c>
      <c r="C792" s="110">
        <v>8890</v>
      </c>
      <c r="D792" s="110">
        <v>26.900020000000001</v>
      </c>
      <c r="E792" s="110">
        <v>7142</v>
      </c>
      <c r="F792" s="110">
        <v>320.54000000000002</v>
      </c>
      <c r="G792" s="110">
        <v>0.82329195023842039</v>
      </c>
      <c r="H792" s="110">
        <v>1.598933670701115</v>
      </c>
      <c r="I792" s="110">
        <v>9748.1640000000007</v>
      </c>
      <c r="J792" s="110">
        <v>357.05500000000001</v>
      </c>
      <c r="K792" s="110">
        <v>0.85519419067113656</v>
      </c>
      <c r="L792" s="110">
        <v>1.54440437954579</v>
      </c>
      <c r="M792" s="110"/>
      <c r="N792" s="110"/>
      <c r="O792" s="110"/>
      <c r="P792" s="110"/>
      <c r="Q792" s="110">
        <v>2205.6872400000002</v>
      </c>
      <c r="R792" s="110"/>
      <c r="S792" s="110"/>
      <c r="T792" s="110"/>
    </row>
    <row r="793" spans="1:20">
      <c r="A793" s="110" t="s">
        <v>44</v>
      </c>
      <c r="B793" s="110" t="s">
        <v>67</v>
      </c>
      <c r="C793" s="110">
        <v>13335</v>
      </c>
      <c r="D793" s="110">
        <v>26.39997</v>
      </c>
      <c r="E793" s="110">
        <v>7152</v>
      </c>
      <c r="F793" s="110">
        <v>304.94</v>
      </c>
      <c r="G793" s="110">
        <v>0.78499734392753751</v>
      </c>
      <c r="H793" s="110">
        <v>1.7024422252193705</v>
      </c>
      <c r="I793" s="110">
        <v>27605.65</v>
      </c>
      <c r="J793" s="110">
        <v>428.07229999999998</v>
      </c>
      <c r="K793" s="110">
        <v>0.96041624955623162</v>
      </c>
      <c r="L793" s="110">
        <v>1.5373956581171495</v>
      </c>
      <c r="M793" s="110"/>
      <c r="N793" s="110"/>
      <c r="O793" s="110"/>
      <c r="P793" s="110">
        <v>60.806870000000004</v>
      </c>
      <c r="Q793" s="110"/>
      <c r="R793" s="110"/>
      <c r="S793" s="110"/>
      <c r="T793" s="110"/>
    </row>
    <row r="794" spans="1:20">
      <c r="A794" s="110" t="s">
        <v>44</v>
      </c>
      <c r="B794" s="110" t="s">
        <v>67</v>
      </c>
      <c r="C794" s="110">
        <v>13335</v>
      </c>
      <c r="D794" s="110">
        <v>26.39997</v>
      </c>
      <c r="E794" s="110">
        <v>7152</v>
      </c>
      <c r="F794" s="110">
        <v>304.94</v>
      </c>
      <c r="G794" s="110">
        <v>0.78499734392753751</v>
      </c>
      <c r="H794" s="110">
        <v>1.7024422252193705</v>
      </c>
      <c r="I794" s="110">
        <v>27575.49</v>
      </c>
      <c r="J794" s="110">
        <v>427.8922</v>
      </c>
      <c r="K794" s="110">
        <v>0.96005951715104298</v>
      </c>
      <c r="L794" s="110">
        <v>1.5375691574995998</v>
      </c>
      <c r="M794" s="110"/>
      <c r="N794" s="110"/>
      <c r="O794" s="110"/>
      <c r="P794" s="110">
        <v>61.17651</v>
      </c>
      <c r="Q794" s="110"/>
      <c r="R794" s="110"/>
      <c r="S794" s="110"/>
      <c r="T794" s="110"/>
    </row>
    <row r="795" spans="1:20">
      <c r="A795" s="110" t="s">
        <v>44</v>
      </c>
      <c r="B795" s="110" t="s">
        <v>67</v>
      </c>
      <c r="C795" s="110">
        <v>13335</v>
      </c>
      <c r="D795" s="110">
        <v>26.39997</v>
      </c>
      <c r="E795" s="110">
        <v>7152</v>
      </c>
      <c r="F795" s="110">
        <v>304.94</v>
      </c>
      <c r="G795" s="110">
        <v>0.78499734392753751</v>
      </c>
      <c r="H795" s="110">
        <v>1.7024422252193705</v>
      </c>
      <c r="I795" s="110">
        <v>27503.609999999997</v>
      </c>
      <c r="J795" s="110">
        <v>427.47329999999999</v>
      </c>
      <c r="K795" s="110">
        <v>0.95921215554948236</v>
      </c>
      <c r="L795" s="110">
        <v>1.5379466345950856</v>
      </c>
      <c r="M795" s="110"/>
      <c r="N795" s="110"/>
      <c r="O795" s="110"/>
      <c r="P795" s="110">
        <v>62.026699999999998</v>
      </c>
      <c r="Q795" s="110"/>
      <c r="R795" s="110"/>
      <c r="S795" s="110"/>
      <c r="T795" s="110"/>
    </row>
    <row r="796" spans="1:20">
      <c r="A796" s="110" t="s">
        <v>44</v>
      </c>
      <c r="B796" s="110" t="s">
        <v>67</v>
      </c>
      <c r="C796" s="110">
        <v>13335</v>
      </c>
      <c r="D796" s="110">
        <v>26.39997</v>
      </c>
      <c r="E796" s="110">
        <v>7152</v>
      </c>
      <c r="F796" s="110">
        <v>304.94</v>
      </c>
      <c r="G796" s="110">
        <v>0.78499734392753751</v>
      </c>
      <c r="H796" s="110">
        <v>1.7024422252193705</v>
      </c>
      <c r="I796" s="110">
        <v>27192.55</v>
      </c>
      <c r="J796" s="110">
        <v>425.80029999999999</v>
      </c>
      <c r="K796" s="110">
        <v>0.95556132348802303</v>
      </c>
      <c r="L796" s="110">
        <v>1.539092706892943</v>
      </c>
      <c r="M796" s="110"/>
      <c r="N796" s="110"/>
      <c r="O796" s="110"/>
      <c r="P796" s="110">
        <v>65.238429999999994</v>
      </c>
      <c r="Q796" s="110"/>
      <c r="R796" s="110"/>
      <c r="S796" s="110"/>
      <c r="T796" s="110"/>
    </row>
    <row r="797" spans="1:20">
      <c r="A797" s="110" t="s">
        <v>44</v>
      </c>
      <c r="B797" s="110" t="s">
        <v>67</v>
      </c>
      <c r="C797" s="110">
        <v>13335</v>
      </c>
      <c r="D797" s="110">
        <v>26.39997</v>
      </c>
      <c r="E797" s="110">
        <v>7152</v>
      </c>
      <c r="F797" s="110">
        <v>304.94</v>
      </c>
      <c r="G797" s="110">
        <v>0.78499734392753751</v>
      </c>
      <c r="H797" s="110">
        <v>1.7024422252193705</v>
      </c>
      <c r="I797" s="110">
        <v>26582.32</v>
      </c>
      <c r="J797" s="110">
        <v>422.96559999999999</v>
      </c>
      <c r="K797" s="110">
        <v>0.94821165570387012</v>
      </c>
      <c r="L797" s="110">
        <v>1.5408107231338484</v>
      </c>
      <c r="M797" s="110"/>
      <c r="N797" s="110"/>
      <c r="O797" s="110"/>
      <c r="P797" s="110">
        <v>70.449879999999993</v>
      </c>
      <c r="Q797" s="110"/>
      <c r="R797" s="110"/>
      <c r="S797" s="110"/>
      <c r="T797" s="110"/>
    </row>
    <row r="798" spans="1:20">
      <c r="A798" s="110" t="s">
        <v>44</v>
      </c>
      <c r="B798" s="110" t="s">
        <v>67</v>
      </c>
      <c r="C798" s="110">
        <v>13335</v>
      </c>
      <c r="D798" s="110">
        <v>26.39997</v>
      </c>
      <c r="E798" s="110">
        <v>7152</v>
      </c>
      <c r="F798" s="110">
        <v>304.94</v>
      </c>
      <c r="G798" s="110">
        <v>0.78499734392753751</v>
      </c>
      <c r="H798" s="110">
        <v>1.7024422252193705</v>
      </c>
      <c r="I798" s="110">
        <v>26330.12</v>
      </c>
      <c r="J798" s="110">
        <v>421.90969999999999</v>
      </c>
      <c r="K798" s="110">
        <v>0.94501818296167062</v>
      </c>
      <c r="L798" s="110">
        <v>1.5404294106485985</v>
      </c>
      <c r="M798" s="110"/>
      <c r="N798" s="110"/>
      <c r="O798" s="110"/>
      <c r="P798" s="110">
        <v>72.303939999999997</v>
      </c>
      <c r="Q798" s="110"/>
      <c r="R798" s="110"/>
      <c r="S798" s="110"/>
      <c r="T798" s="110"/>
    </row>
    <row r="799" spans="1:20">
      <c r="A799" s="110" t="s">
        <v>44</v>
      </c>
      <c r="B799" s="110" t="s">
        <v>67</v>
      </c>
      <c r="C799" s="110">
        <v>13335</v>
      </c>
      <c r="D799" s="110">
        <v>26.39997</v>
      </c>
      <c r="E799" s="110">
        <v>7152</v>
      </c>
      <c r="F799" s="110">
        <v>304.94</v>
      </c>
      <c r="G799" s="110">
        <v>0.78499734392753751</v>
      </c>
      <c r="H799" s="110">
        <v>1.7024422252193705</v>
      </c>
      <c r="I799" s="110">
        <v>26103.829999999998</v>
      </c>
      <c r="J799" s="110">
        <v>420.9923</v>
      </c>
      <c r="K799" s="110">
        <v>0.9420620605744795</v>
      </c>
      <c r="L799" s="110">
        <v>1.5399079021797772</v>
      </c>
      <c r="M799" s="110"/>
      <c r="N799" s="110"/>
      <c r="O799" s="110"/>
      <c r="P799" s="110">
        <v>73.940560000000005</v>
      </c>
      <c r="Q799" s="110"/>
      <c r="R799" s="110"/>
      <c r="S799" s="110"/>
      <c r="T799" s="110"/>
    </row>
    <row r="800" spans="1:20">
      <c r="A800" s="110" t="s">
        <v>44</v>
      </c>
      <c r="B800" s="110" t="s">
        <v>67</v>
      </c>
      <c r="C800" s="110">
        <v>13335</v>
      </c>
      <c r="D800" s="110">
        <v>26.39997</v>
      </c>
      <c r="E800" s="110">
        <v>7152</v>
      </c>
      <c r="F800" s="110">
        <v>304.94</v>
      </c>
      <c r="G800" s="110">
        <v>0.78499734392753751</v>
      </c>
      <c r="H800" s="110">
        <v>1.7024422252193705</v>
      </c>
      <c r="I800" s="110">
        <v>25388.12</v>
      </c>
      <c r="J800" s="110">
        <v>418.2842</v>
      </c>
      <c r="K800" s="110">
        <v>0.93646594865410293</v>
      </c>
      <c r="L800" s="110">
        <v>1.5645505490425731</v>
      </c>
      <c r="M800" s="110"/>
      <c r="N800" s="110"/>
      <c r="O800" s="110"/>
      <c r="P800" s="110">
        <v>78.639089999999996</v>
      </c>
      <c r="Q800" s="110"/>
      <c r="R800" s="110"/>
      <c r="S800" s="110"/>
      <c r="T800" s="110"/>
    </row>
    <row r="801" spans="1:20">
      <c r="A801" s="110" t="s">
        <v>44</v>
      </c>
      <c r="B801" s="110" t="s">
        <v>67</v>
      </c>
      <c r="C801" s="110">
        <v>13335</v>
      </c>
      <c r="D801" s="110">
        <v>26.39997</v>
      </c>
      <c r="E801" s="110">
        <v>7152</v>
      </c>
      <c r="F801" s="110">
        <v>304.94</v>
      </c>
      <c r="G801" s="110">
        <v>0.78499734392753751</v>
      </c>
      <c r="H801" s="110">
        <v>1.7024422252193705</v>
      </c>
      <c r="I801" s="110">
        <v>24938.55</v>
      </c>
      <c r="J801" s="110">
        <v>416.6712</v>
      </c>
      <c r="K801" s="110">
        <v>0.93341182357532981</v>
      </c>
      <c r="L801" s="110">
        <v>1.5640023796754603</v>
      </c>
      <c r="M801" s="110"/>
      <c r="N801" s="110"/>
      <c r="O801" s="110"/>
      <c r="P801" s="110">
        <v>81.135189999999994</v>
      </c>
      <c r="Q801" s="110"/>
      <c r="R801" s="110"/>
      <c r="S801" s="110"/>
      <c r="T801" s="110"/>
    </row>
    <row r="802" spans="1:20">
      <c r="A802" s="110" t="s">
        <v>44</v>
      </c>
      <c r="B802" s="110" t="s">
        <v>67</v>
      </c>
      <c r="C802" s="110">
        <v>13335</v>
      </c>
      <c r="D802" s="110">
        <v>26.39997</v>
      </c>
      <c r="E802" s="110">
        <v>7152</v>
      </c>
      <c r="F802" s="110">
        <v>304.94</v>
      </c>
      <c r="G802" s="110">
        <v>0.78499734392753751</v>
      </c>
      <c r="H802" s="110">
        <v>1.7024422252193705</v>
      </c>
      <c r="I802" s="110">
        <v>24194.1</v>
      </c>
      <c r="J802" s="110">
        <v>414.18630000000002</v>
      </c>
      <c r="K802" s="110">
        <v>0.92728917654749565</v>
      </c>
      <c r="L802" s="110">
        <v>1.5616881106138145</v>
      </c>
      <c r="M802" s="110"/>
      <c r="N802" s="110"/>
      <c r="O802" s="110"/>
      <c r="P802" s="110">
        <v>84.441490000000002</v>
      </c>
      <c r="Q802" s="110"/>
      <c r="R802" s="110"/>
      <c r="S802" s="110"/>
      <c r="T802" s="110"/>
    </row>
    <row r="803" spans="1:20">
      <c r="A803" s="110" t="s">
        <v>44</v>
      </c>
      <c r="B803" s="110" t="s">
        <v>67</v>
      </c>
      <c r="C803" s="110">
        <v>13335</v>
      </c>
      <c r="D803" s="110">
        <v>26.39997</v>
      </c>
      <c r="E803" s="110">
        <v>7152</v>
      </c>
      <c r="F803" s="110">
        <v>304.94</v>
      </c>
      <c r="G803" s="110">
        <v>0.78499734392753751</v>
      </c>
      <c r="H803" s="110">
        <v>1.7024422252193705</v>
      </c>
      <c r="I803" s="110">
        <v>22985.41</v>
      </c>
      <c r="J803" s="110">
        <v>410.3064</v>
      </c>
      <c r="K803" s="110">
        <v>0.91487928755045345</v>
      </c>
      <c r="L803" s="110">
        <v>1.5750975894653552</v>
      </c>
      <c r="M803" s="110"/>
      <c r="N803" s="110"/>
      <c r="O803" s="110"/>
      <c r="P803" s="110">
        <v>88.732650000000007</v>
      </c>
      <c r="Q803" s="110"/>
      <c r="R803" s="110"/>
      <c r="S803" s="110"/>
      <c r="T803" s="110"/>
    </row>
    <row r="804" spans="1:20">
      <c r="A804" s="110" t="s">
        <v>44</v>
      </c>
      <c r="B804" s="110" t="s">
        <v>67</v>
      </c>
      <c r="C804" s="110">
        <v>13335</v>
      </c>
      <c r="D804" s="110">
        <v>26.39997</v>
      </c>
      <c r="E804" s="110">
        <v>7152</v>
      </c>
      <c r="F804" s="110">
        <v>304.94</v>
      </c>
      <c r="G804" s="110">
        <v>0.78499734392753751</v>
      </c>
      <c r="H804" s="110">
        <v>1.7024422252193705</v>
      </c>
      <c r="I804" s="110">
        <v>22204.84</v>
      </c>
      <c r="J804" s="110">
        <v>407.9289</v>
      </c>
      <c r="K804" s="110">
        <v>0.9115438198009721</v>
      </c>
      <c r="L804" s="110">
        <v>1.5724880246992092</v>
      </c>
      <c r="M804" s="110"/>
      <c r="N804" s="110"/>
      <c r="O804" s="110"/>
      <c r="P804" s="110">
        <v>90.922190000000001</v>
      </c>
      <c r="Q804" s="110"/>
      <c r="R804" s="110"/>
      <c r="S804" s="110"/>
      <c r="T804" s="110"/>
    </row>
    <row r="805" spans="1:20">
      <c r="A805" s="110" t="s">
        <v>44</v>
      </c>
      <c r="B805" s="110" t="s">
        <v>67</v>
      </c>
      <c r="C805" s="110">
        <v>13335</v>
      </c>
      <c r="D805" s="110">
        <v>26.39997</v>
      </c>
      <c r="E805" s="110">
        <v>7152</v>
      </c>
      <c r="F805" s="110">
        <v>304.94</v>
      </c>
      <c r="G805" s="110">
        <v>0.78499734392753751</v>
      </c>
      <c r="H805" s="110">
        <v>1.7024422252193705</v>
      </c>
      <c r="I805" s="110">
        <v>20793.7</v>
      </c>
      <c r="J805" s="110">
        <v>403.72750000000002</v>
      </c>
      <c r="K805" s="110">
        <v>0.89996097869148184</v>
      </c>
      <c r="L805" s="110">
        <v>1.5671048179635498</v>
      </c>
      <c r="M805" s="110"/>
      <c r="N805" s="110"/>
      <c r="O805" s="110"/>
      <c r="P805" s="110">
        <v>93.993319999999997</v>
      </c>
      <c r="Q805" s="110"/>
      <c r="R805" s="110"/>
      <c r="S805" s="110"/>
      <c r="T805" s="110"/>
    </row>
    <row r="806" spans="1:20">
      <c r="A806" s="110" t="s">
        <v>44</v>
      </c>
      <c r="B806" s="110" t="s">
        <v>67</v>
      </c>
      <c r="C806" s="110">
        <v>13335</v>
      </c>
      <c r="D806" s="110">
        <v>26.39997</v>
      </c>
      <c r="E806" s="110">
        <v>7152</v>
      </c>
      <c r="F806" s="110">
        <v>304.94</v>
      </c>
      <c r="G806" s="110">
        <v>0.78499734392753751</v>
      </c>
      <c r="H806" s="110">
        <v>1.7024422252193705</v>
      </c>
      <c r="I806" s="110">
        <v>20079.62</v>
      </c>
      <c r="J806" s="110">
        <v>401.64260000000002</v>
      </c>
      <c r="K806" s="110">
        <v>0.8967509307832745</v>
      </c>
      <c r="L806" s="110">
        <v>1.5781332601166254</v>
      </c>
      <c r="M806" s="110"/>
      <c r="N806" s="110"/>
      <c r="O806" s="110"/>
      <c r="P806" s="110">
        <v>95.201229999999995</v>
      </c>
      <c r="Q806" s="110"/>
      <c r="R806" s="110"/>
      <c r="S806" s="110"/>
      <c r="T806" s="110"/>
    </row>
    <row r="807" spans="1:20">
      <c r="A807" s="110" t="s">
        <v>44</v>
      </c>
      <c r="B807" s="110" t="s">
        <v>67</v>
      </c>
      <c r="C807" s="110">
        <v>13335</v>
      </c>
      <c r="D807" s="110">
        <v>26.39997</v>
      </c>
      <c r="E807" s="110">
        <v>7152</v>
      </c>
      <c r="F807" s="110">
        <v>304.94</v>
      </c>
      <c r="G807" s="110">
        <v>0.78499734392753751</v>
      </c>
      <c r="H807" s="110">
        <v>1.7024422252193705</v>
      </c>
      <c r="I807" s="110">
        <v>18711.72</v>
      </c>
      <c r="J807" s="110">
        <v>397.64150000000001</v>
      </c>
      <c r="K807" s="110">
        <v>0.88857863823897465</v>
      </c>
      <c r="L807" s="110">
        <v>1.5716764325537327</v>
      </c>
      <c r="M807" s="110"/>
      <c r="N807" s="110"/>
      <c r="O807" s="110"/>
      <c r="P807" s="110">
        <v>97.024640000000005</v>
      </c>
      <c r="Q807" s="110"/>
      <c r="R807" s="110"/>
      <c r="S807" s="110"/>
      <c r="T807" s="110"/>
    </row>
    <row r="808" spans="1:20">
      <c r="A808" s="110" t="s">
        <v>44</v>
      </c>
      <c r="B808" s="110" t="s">
        <v>67</v>
      </c>
      <c r="C808" s="110">
        <v>13335</v>
      </c>
      <c r="D808" s="110">
        <v>26.39997</v>
      </c>
      <c r="E808" s="110">
        <v>7152</v>
      </c>
      <c r="F808" s="110">
        <v>304.94</v>
      </c>
      <c r="G808" s="110">
        <v>0.78499734392753751</v>
      </c>
      <c r="H808" s="110">
        <v>1.7024422252193705</v>
      </c>
      <c r="I808" s="110">
        <v>18097.53</v>
      </c>
      <c r="J808" s="110">
        <v>395.7867</v>
      </c>
      <c r="K808" s="110">
        <v>0.88493469030564986</v>
      </c>
      <c r="L808" s="110">
        <v>1.573214429692058</v>
      </c>
      <c r="M808" s="110"/>
      <c r="N808" s="110"/>
      <c r="O808" s="110"/>
      <c r="P808" s="110">
        <v>97.747709999999998</v>
      </c>
      <c r="Q808" s="110"/>
      <c r="R808" s="110"/>
      <c r="S808" s="110"/>
      <c r="T808" s="110"/>
    </row>
    <row r="809" spans="1:20">
      <c r="A809" s="110" t="s">
        <v>44</v>
      </c>
      <c r="B809" s="110" t="s">
        <v>67</v>
      </c>
      <c r="C809" s="110">
        <v>13335</v>
      </c>
      <c r="D809" s="110">
        <v>26.39997</v>
      </c>
      <c r="E809" s="110">
        <v>7152</v>
      </c>
      <c r="F809" s="110">
        <v>304.94</v>
      </c>
      <c r="G809" s="110">
        <v>0.78499734392753751</v>
      </c>
      <c r="H809" s="110">
        <v>1.7024422252193705</v>
      </c>
      <c r="I809" s="110">
        <v>16710.96</v>
      </c>
      <c r="J809" s="110">
        <v>391.40140000000002</v>
      </c>
      <c r="K809" s="110">
        <v>0.87943681616377378</v>
      </c>
      <c r="L809" s="110">
        <v>1.5691455125183662</v>
      </c>
      <c r="M809" s="110"/>
      <c r="N809" s="110"/>
      <c r="O809" s="110"/>
      <c r="P809" s="110">
        <v>99.148259999999993</v>
      </c>
      <c r="Q809" s="110"/>
      <c r="R809" s="110"/>
      <c r="S809" s="110"/>
      <c r="T809" s="110"/>
    </row>
    <row r="810" spans="1:20">
      <c r="A810" s="110" t="s">
        <v>44</v>
      </c>
      <c r="B810" s="110" t="s">
        <v>67</v>
      </c>
      <c r="C810" s="110">
        <v>13335</v>
      </c>
      <c r="D810" s="110">
        <v>26.39997</v>
      </c>
      <c r="E810" s="110">
        <v>7152</v>
      </c>
      <c r="F810" s="110">
        <v>304.94</v>
      </c>
      <c r="G810" s="110">
        <v>0.78499734392753751</v>
      </c>
      <c r="H810" s="110">
        <v>1.7024422252193705</v>
      </c>
      <c r="I810" s="110">
        <v>16011.68</v>
      </c>
      <c r="J810" s="110">
        <v>389.11020000000002</v>
      </c>
      <c r="K810" s="110">
        <v>0.87663646968972186</v>
      </c>
      <c r="L810" s="110">
        <v>1.5651824134334225</v>
      </c>
      <c r="M810" s="110"/>
      <c r="N810" s="110"/>
      <c r="O810" s="110"/>
      <c r="P810" s="110">
        <v>99.741370000000003</v>
      </c>
      <c r="Q810" s="110"/>
      <c r="R810" s="110"/>
      <c r="S810" s="110"/>
      <c r="T810" s="110"/>
    </row>
    <row r="811" spans="1:20">
      <c r="A811" s="110" t="s">
        <v>44</v>
      </c>
      <c r="B811" s="110" t="s">
        <v>67</v>
      </c>
      <c r="C811" s="110">
        <v>13335</v>
      </c>
      <c r="D811" s="110">
        <v>26.39997</v>
      </c>
      <c r="E811" s="110">
        <v>7152</v>
      </c>
      <c r="F811" s="110">
        <v>304.94</v>
      </c>
      <c r="G811" s="110">
        <v>0.78499734392753751</v>
      </c>
      <c r="H811" s="110">
        <v>1.7024422252193705</v>
      </c>
      <c r="I811" s="110">
        <v>14515.64</v>
      </c>
      <c r="J811" s="110">
        <v>384.11020000000002</v>
      </c>
      <c r="K811" s="110">
        <v>0.87065607273134149</v>
      </c>
      <c r="L811" s="110">
        <v>1.5524727299209438</v>
      </c>
      <c r="M811" s="110"/>
      <c r="N811" s="110"/>
      <c r="O811" s="110"/>
      <c r="P811" s="110">
        <v>100.7021</v>
      </c>
      <c r="Q811" s="110"/>
      <c r="R811" s="110"/>
      <c r="S811" s="110"/>
      <c r="T811" s="110"/>
    </row>
    <row r="812" spans="1:20">
      <c r="A812" s="110" t="s">
        <v>44</v>
      </c>
      <c r="B812" s="110" t="s">
        <v>67</v>
      </c>
      <c r="C812" s="110">
        <v>12700</v>
      </c>
      <c r="D812" s="110">
        <v>26.39997</v>
      </c>
      <c r="E812" s="110">
        <v>7152</v>
      </c>
      <c r="F812" s="110">
        <v>304.94</v>
      </c>
      <c r="G812" s="110">
        <v>0.78499734392753751</v>
      </c>
      <c r="H812" s="110">
        <v>1.7024422252193705</v>
      </c>
      <c r="I812" s="110">
        <v>25096.03</v>
      </c>
      <c r="J812" s="110">
        <v>419.30860000000001</v>
      </c>
      <c r="K812" s="110">
        <v>0.93731511883535146</v>
      </c>
      <c r="L812" s="110">
        <v>1.556424535129072</v>
      </c>
      <c r="M812" s="110"/>
      <c r="N812" s="110"/>
      <c r="O812" s="110"/>
      <c r="P812" s="110">
        <v>55.264870000000002</v>
      </c>
      <c r="Q812" s="110"/>
      <c r="R812" s="110"/>
      <c r="S812" s="110"/>
      <c r="T812" s="110"/>
    </row>
    <row r="813" spans="1:20">
      <c r="A813" s="110" t="s">
        <v>44</v>
      </c>
      <c r="B813" s="110" t="s">
        <v>67</v>
      </c>
      <c r="C813" s="110">
        <v>12700</v>
      </c>
      <c r="D813" s="110">
        <v>26.39997</v>
      </c>
      <c r="E813" s="110">
        <v>7152</v>
      </c>
      <c r="F813" s="110">
        <v>304.94</v>
      </c>
      <c r="G813" s="110">
        <v>0.78499734392753751</v>
      </c>
      <c r="H813" s="110">
        <v>1.7024422252193705</v>
      </c>
      <c r="I813" s="110">
        <v>25057.53</v>
      </c>
      <c r="J813" s="110">
        <v>419.05459999999999</v>
      </c>
      <c r="K813" s="110">
        <v>0.93689260531944729</v>
      </c>
      <c r="L813" s="110">
        <v>1.556816361909183</v>
      </c>
      <c r="M813" s="110"/>
      <c r="N813" s="110"/>
      <c r="O813" s="110"/>
      <c r="P813" s="110">
        <v>55.795070000000003</v>
      </c>
      <c r="Q813" s="110"/>
      <c r="R813" s="110"/>
      <c r="S813" s="110"/>
      <c r="T813" s="110"/>
    </row>
    <row r="814" spans="1:20">
      <c r="A814" s="110" t="s">
        <v>44</v>
      </c>
      <c r="B814" s="110" t="s">
        <v>67</v>
      </c>
      <c r="C814" s="110">
        <v>12700</v>
      </c>
      <c r="D814" s="110">
        <v>26.39997</v>
      </c>
      <c r="E814" s="110">
        <v>7152</v>
      </c>
      <c r="F814" s="110">
        <v>304.94</v>
      </c>
      <c r="G814" s="110">
        <v>0.78499734392753751</v>
      </c>
      <c r="H814" s="110">
        <v>1.7024422252193705</v>
      </c>
      <c r="I814" s="110">
        <v>25003.79</v>
      </c>
      <c r="J814" s="110">
        <v>418.71350000000001</v>
      </c>
      <c r="K814" s="110">
        <v>0.93631264071041032</v>
      </c>
      <c r="L814" s="110">
        <v>1.557307107408056</v>
      </c>
      <c r="M814" s="110"/>
      <c r="N814" s="110"/>
      <c r="O814" s="110"/>
      <c r="P814" s="110">
        <v>56.47139</v>
      </c>
      <c r="Q814" s="110"/>
      <c r="R814" s="110"/>
      <c r="S814" s="110"/>
      <c r="T814" s="110"/>
    </row>
    <row r="815" spans="1:20">
      <c r="A815" s="110" t="s">
        <v>44</v>
      </c>
      <c r="B815" s="110" t="s">
        <v>67</v>
      </c>
      <c r="C815" s="110">
        <v>12700</v>
      </c>
      <c r="D815" s="110">
        <v>26.39997</v>
      </c>
      <c r="E815" s="110">
        <v>7152</v>
      </c>
      <c r="F815" s="110">
        <v>304.94</v>
      </c>
      <c r="G815" s="110">
        <v>0.78499734392753751</v>
      </c>
      <c r="H815" s="110">
        <v>1.7024422252193705</v>
      </c>
      <c r="I815" s="110">
        <v>24737.43</v>
      </c>
      <c r="J815" s="110">
        <v>417.12049999999999</v>
      </c>
      <c r="K815" s="110">
        <v>0.93343156378017766</v>
      </c>
      <c r="L815" s="110">
        <v>1.5592820285468711</v>
      </c>
      <c r="M815" s="110"/>
      <c r="N815" s="110"/>
      <c r="O815" s="110"/>
      <c r="P815" s="110">
        <v>59.616289999999999</v>
      </c>
      <c r="Q815" s="110"/>
      <c r="R815" s="110"/>
      <c r="S815" s="110"/>
      <c r="T815" s="110"/>
    </row>
    <row r="816" spans="1:20">
      <c r="A816" s="110" t="s">
        <v>44</v>
      </c>
      <c r="B816" s="110" t="s">
        <v>67</v>
      </c>
      <c r="C816" s="110">
        <v>12700</v>
      </c>
      <c r="D816" s="110">
        <v>26.39997</v>
      </c>
      <c r="E816" s="110">
        <v>7152</v>
      </c>
      <c r="F816" s="110">
        <v>304.94</v>
      </c>
      <c r="G816" s="110">
        <v>0.78499734392753751</v>
      </c>
      <c r="H816" s="110">
        <v>1.7024422252193705</v>
      </c>
      <c r="I816" s="110">
        <v>24106.97</v>
      </c>
      <c r="J816" s="110">
        <v>413.84100000000001</v>
      </c>
      <c r="K816" s="110">
        <v>0.92639147071184491</v>
      </c>
      <c r="L816" s="110">
        <v>1.5615599129846891</v>
      </c>
      <c r="M816" s="110"/>
      <c r="N816" s="110"/>
      <c r="O816" s="110"/>
      <c r="P816" s="110">
        <v>65.411420000000007</v>
      </c>
      <c r="Q816" s="110"/>
      <c r="R816" s="110"/>
      <c r="S816" s="110"/>
      <c r="T816" s="110"/>
    </row>
    <row r="817" spans="1:20">
      <c r="A817" s="110" t="s">
        <v>44</v>
      </c>
      <c r="B817" s="110" t="s">
        <v>67</v>
      </c>
      <c r="C817" s="110">
        <v>12700</v>
      </c>
      <c r="D817" s="110">
        <v>26.39997</v>
      </c>
      <c r="E817" s="110">
        <v>7152</v>
      </c>
      <c r="F817" s="110">
        <v>304.94</v>
      </c>
      <c r="G817" s="110">
        <v>0.78499734392753751</v>
      </c>
      <c r="H817" s="110">
        <v>1.7024422252193705</v>
      </c>
      <c r="I817" s="110">
        <v>24085.439999999999</v>
      </c>
      <c r="J817" s="110">
        <v>413.73820000000001</v>
      </c>
      <c r="K817" s="110">
        <v>0.92614213322211159</v>
      </c>
      <c r="L817" s="110">
        <v>1.5615903087620646</v>
      </c>
      <c r="M817" s="110"/>
      <c r="N817" s="110"/>
      <c r="O817" s="110"/>
      <c r="P817" s="110">
        <v>65.589609999999993</v>
      </c>
      <c r="Q817" s="110"/>
      <c r="R817" s="110"/>
      <c r="S817" s="110"/>
      <c r="T817" s="110"/>
    </row>
    <row r="818" spans="1:20">
      <c r="A818" s="110" t="s">
        <v>44</v>
      </c>
      <c r="B818" s="110" t="s">
        <v>67</v>
      </c>
      <c r="C818" s="110">
        <v>12700</v>
      </c>
      <c r="D818" s="110">
        <v>26.39997</v>
      </c>
      <c r="E818" s="110">
        <v>7152</v>
      </c>
      <c r="F818" s="110">
        <v>304.94</v>
      </c>
      <c r="G818" s="110">
        <v>0.78499734392753751</v>
      </c>
      <c r="H818" s="110">
        <v>1.7024422252193705</v>
      </c>
      <c r="I818" s="110">
        <v>24056.52</v>
      </c>
      <c r="J818" s="110">
        <v>413.60050000000001</v>
      </c>
      <c r="K818" s="110">
        <v>0.92580554025618955</v>
      </c>
      <c r="L818" s="110">
        <v>1.5616283646377227</v>
      </c>
      <c r="M818" s="110"/>
      <c r="N818" s="110"/>
      <c r="O818" s="110"/>
      <c r="P818" s="110">
        <v>65.83</v>
      </c>
      <c r="Q818" s="110"/>
      <c r="R818" s="110"/>
      <c r="S818" s="110"/>
      <c r="T818" s="110"/>
    </row>
    <row r="819" spans="1:20">
      <c r="A819" s="110" t="s">
        <v>44</v>
      </c>
      <c r="B819" s="110" t="s">
        <v>67</v>
      </c>
      <c r="C819" s="110">
        <v>12700</v>
      </c>
      <c r="D819" s="110">
        <v>26.39997</v>
      </c>
      <c r="E819" s="110">
        <v>7152</v>
      </c>
      <c r="F819" s="110">
        <v>304.94</v>
      </c>
      <c r="G819" s="110">
        <v>0.78499734392753751</v>
      </c>
      <c r="H819" s="110">
        <v>1.7024422252193705</v>
      </c>
      <c r="I819" s="110">
        <v>23750.239999999998</v>
      </c>
      <c r="J819" s="110">
        <v>412.1936</v>
      </c>
      <c r="K819" s="110">
        <v>0.92211781387789205</v>
      </c>
      <c r="L819" s="110">
        <v>1.5616408878354717</v>
      </c>
      <c r="M819" s="110"/>
      <c r="N819" s="110"/>
      <c r="O819" s="110"/>
      <c r="P819" s="110">
        <v>68.28922</v>
      </c>
      <c r="Q819" s="110"/>
      <c r="R819" s="110"/>
      <c r="S819" s="110"/>
      <c r="T819" s="110"/>
    </row>
    <row r="820" spans="1:20">
      <c r="A820" s="110" t="s">
        <v>44</v>
      </c>
      <c r="B820" s="110" t="s">
        <v>67</v>
      </c>
      <c r="C820" s="110">
        <v>12700</v>
      </c>
      <c r="D820" s="110">
        <v>26.39997</v>
      </c>
      <c r="E820" s="110">
        <v>7152</v>
      </c>
      <c r="F820" s="110">
        <v>304.94</v>
      </c>
      <c r="G820" s="110">
        <v>0.78499734392753751</v>
      </c>
      <c r="H820" s="110">
        <v>1.7024422252193705</v>
      </c>
      <c r="I820" s="110">
        <v>23084.739999999998</v>
      </c>
      <c r="J820" s="110">
        <v>409.41129999999998</v>
      </c>
      <c r="K820" s="110">
        <v>0.91343474637407729</v>
      </c>
      <c r="L820" s="110">
        <v>1.5600573984146591</v>
      </c>
      <c r="M820" s="110"/>
      <c r="N820" s="110"/>
      <c r="O820" s="110"/>
      <c r="P820" s="110">
        <v>72.923450000000003</v>
      </c>
      <c r="Q820" s="110"/>
      <c r="R820" s="110"/>
      <c r="S820" s="110"/>
      <c r="T820" s="110"/>
    </row>
    <row r="821" spans="1:20">
      <c r="A821" s="110" t="s">
        <v>44</v>
      </c>
      <c r="B821" s="110" t="s">
        <v>67</v>
      </c>
      <c r="C821" s="110">
        <v>12700</v>
      </c>
      <c r="D821" s="110">
        <v>26.39997</v>
      </c>
      <c r="E821" s="110">
        <v>7152</v>
      </c>
      <c r="F821" s="110">
        <v>304.94</v>
      </c>
      <c r="G821" s="110">
        <v>0.78499734392753751</v>
      </c>
      <c r="H821" s="110">
        <v>1.7024422252193705</v>
      </c>
      <c r="I821" s="110">
        <v>22722</v>
      </c>
      <c r="J821" s="110">
        <v>408.0206</v>
      </c>
      <c r="K821" s="110">
        <v>0.91180118877002236</v>
      </c>
      <c r="L821" s="110">
        <v>1.5806577146968528</v>
      </c>
      <c r="M821" s="110"/>
      <c r="N821" s="110"/>
      <c r="O821" s="110"/>
      <c r="P821" s="110">
        <v>74.967439999999996</v>
      </c>
      <c r="Q821" s="110"/>
      <c r="R821" s="110"/>
      <c r="S821" s="110"/>
      <c r="T821" s="110"/>
    </row>
    <row r="822" spans="1:20">
      <c r="A822" s="110" t="s">
        <v>44</v>
      </c>
      <c r="B822" s="110" t="s">
        <v>67</v>
      </c>
      <c r="C822" s="110">
        <v>12700</v>
      </c>
      <c r="D822" s="110">
        <v>26.39997</v>
      </c>
      <c r="E822" s="110">
        <v>7152</v>
      </c>
      <c r="F822" s="110">
        <v>304.94</v>
      </c>
      <c r="G822" s="110">
        <v>0.78499734392753751</v>
      </c>
      <c r="H822" s="110">
        <v>1.7024422252193705</v>
      </c>
      <c r="I822" s="110">
        <v>22155.8</v>
      </c>
      <c r="J822" s="110">
        <v>405.94470000000001</v>
      </c>
      <c r="K822" s="110">
        <v>0.90849635882579771</v>
      </c>
      <c r="L822" s="110">
        <v>1.5802220993552498</v>
      </c>
      <c r="M822" s="110"/>
      <c r="N822" s="110"/>
      <c r="O822" s="110"/>
      <c r="P822" s="110">
        <v>77.775390000000002</v>
      </c>
      <c r="Q822" s="110"/>
      <c r="R822" s="110"/>
      <c r="S822" s="110"/>
      <c r="T822" s="110"/>
    </row>
    <row r="823" spans="1:20">
      <c r="A823" s="110" t="s">
        <v>44</v>
      </c>
      <c r="B823" s="110" t="s">
        <v>67</v>
      </c>
      <c r="C823" s="110">
        <v>12700</v>
      </c>
      <c r="D823" s="110">
        <v>26.39997</v>
      </c>
      <c r="E823" s="110">
        <v>7152</v>
      </c>
      <c r="F823" s="110">
        <v>304.94</v>
      </c>
      <c r="G823" s="110">
        <v>0.78499734392753751</v>
      </c>
      <c r="H823" s="110">
        <v>1.7024422252193705</v>
      </c>
      <c r="I823" s="110">
        <v>21844.35</v>
      </c>
      <c r="J823" s="110">
        <v>404.83069999999998</v>
      </c>
      <c r="K823" s="110">
        <v>0.90621120111727693</v>
      </c>
      <c r="L823" s="110">
        <v>1.5796706140269887</v>
      </c>
      <c r="M823" s="110"/>
      <c r="N823" s="110"/>
      <c r="O823" s="110"/>
      <c r="P823" s="110">
        <v>79.18723</v>
      </c>
      <c r="Q823" s="110"/>
      <c r="R823" s="110"/>
      <c r="S823" s="110"/>
      <c r="T823" s="110"/>
    </row>
    <row r="824" spans="1:20">
      <c r="A824" s="110" t="s">
        <v>44</v>
      </c>
      <c r="B824" s="110" t="s">
        <v>67</v>
      </c>
      <c r="C824" s="110">
        <v>12700</v>
      </c>
      <c r="D824" s="110">
        <v>26.39997</v>
      </c>
      <c r="E824" s="110">
        <v>7152</v>
      </c>
      <c r="F824" s="110">
        <v>304.94</v>
      </c>
      <c r="G824" s="110">
        <v>0.78499734392753751</v>
      </c>
      <c r="H824" s="110">
        <v>1.7024422252193705</v>
      </c>
      <c r="I824" s="110">
        <v>20794.95</v>
      </c>
      <c r="J824" s="110">
        <v>401.16860000000003</v>
      </c>
      <c r="K824" s="110">
        <v>0.89596269278378182</v>
      </c>
      <c r="L824" s="110">
        <v>1.5760546718400983</v>
      </c>
      <c r="M824" s="110"/>
      <c r="N824" s="110"/>
      <c r="O824" s="110"/>
      <c r="P824" s="110">
        <v>83.234539999999996</v>
      </c>
      <c r="Q824" s="110"/>
      <c r="R824" s="110"/>
      <c r="S824" s="110"/>
      <c r="T824" s="110"/>
    </row>
    <row r="825" spans="1:20">
      <c r="A825" s="110" t="s">
        <v>44</v>
      </c>
      <c r="B825" s="110" t="s">
        <v>67</v>
      </c>
      <c r="C825" s="110">
        <v>12700</v>
      </c>
      <c r="D825" s="110">
        <v>26.39997</v>
      </c>
      <c r="E825" s="110">
        <v>7152</v>
      </c>
      <c r="F825" s="110">
        <v>304.94</v>
      </c>
      <c r="G825" s="110">
        <v>0.78499734392753751</v>
      </c>
      <c r="H825" s="110">
        <v>1.7024422252193705</v>
      </c>
      <c r="I825" s="110">
        <v>20227.420000000002</v>
      </c>
      <c r="J825" s="110">
        <v>399.2808</v>
      </c>
      <c r="K825" s="110">
        <v>0.89253873276673501</v>
      </c>
      <c r="L825" s="110">
        <v>1.5874762048668298</v>
      </c>
      <c r="M825" s="110"/>
      <c r="N825" s="110"/>
      <c r="O825" s="110"/>
      <c r="P825" s="110">
        <v>84.965980000000002</v>
      </c>
      <c r="Q825" s="110"/>
      <c r="R825" s="110"/>
      <c r="S825" s="110"/>
      <c r="T825" s="110"/>
    </row>
    <row r="826" spans="1:20">
      <c r="A826" s="110" t="s">
        <v>44</v>
      </c>
      <c r="B826" s="110" t="s">
        <v>67</v>
      </c>
      <c r="C826" s="110">
        <v>12700</v>
      </c>
      <c r="D826" s="110">
        <v>26.39997</v>
      </c>
      <c r="E826" s="110">
        <v>7152</v>
      </c>
      <c r="F826" s="110">
        <v>304.94</v>
      </c>
      <c r="G826" s="110">
        <v>0.78499734392753751</v>
      </c>
      <c r="H826" s="110">
        <v>1.7024422252193705</v>
      </c>
      <c r="I826" s="110">
        <v>19102.920000000002</v>
      </c>
      <c r="J826" s="110">
        <v>395.64510000000001</v>
      </c>
      <c r="K826" s="110">
        <v>0.88659663250937537</v>
      </c>
      <c r="L826" s="110">
        <v>1.586346712085732</v>
      </c>
      <c r="M826" s="110"/>
      <c r="N826" s="110"/>
      <c r="O826" s="110"/>
      <c r="P826" s="110">
        <v>87.752219999999994</v>
      </c>
      <c r="Q826" s="110"/>
      <c r="R826" s="110"/>
      <c r="S826" s="110"/>
      <c r="T826" s="110"/>
    </row>
    <row r="827" spans="1:20">
      <c r="A827" s="110" t="s">
        <v>44</v>
      </c>
      <c r="B827" s="110" t="s">
        <v>67</v>
      </c>
      <c r="C827" s="110">
        <v>12700</v>
      </c>
      <c r="D827" s="110">
        <v>26.39997</v>
      </c>
      <c r="E827" s="110">
        <v>7152</v>
      </c>
      <c r="F827" s="110">
        <v>304.94</v>
      </c>
      <c r="G827" s="110">
        <v>0.78499734392753751</v>
      </c>
      <c r="H827" s="110">
        <v>1.7024422252193705</v>
      </c>
      <c r="I827" s="110">
        <v>18453.280000000002</v>
      </c>
      <c r="J827" s="110">
        <v>393.58460000000002</v>
      </c>
      <c r="K827" s="110">
        <v>0.88056468528996634</v>
      </c>
      <c r="L827" s="110">
        <v>1.5839495518222348</v>
      </c>
      <c r="M827" s="110"/>
      <c r="N827" s="110"/>
      <c r="O827" s="110"/>
      <c r="P827" s="110">
        <v>88.958830000000006</v>
      </c>
      <c r="Q827" s="110"/>
      <c r="R827" s="110"/>
      <c r="S827" s="110"/>
      <c r="T827" s="110"/>
    </row>
    <row r="828" spans="1:20">
      <c r="A828" s="110" t="s">
        <v>44</v>
      </c>
      <c r="B828" s="110" t="s">
        <v>67</v>
      </c>
      <c r="C828" s="110">
        <v>12700</v>
      </c>
      <c r="D828" s="110">
        <v>26.39997</v>
      </c>
      <c r="E828" s="110">
        <v>7152</v>
      </c>
      <c r="F828" s="110">
        <v>304.94</v>
      </c>
      <c r="G828" s="110">
        <v>0.78499734392753751</v>
      </c>
      <c r="H828" s="110">
        <v>1.7024422252193705</v>
      </c>
      <c r="I828" s="110">
        <v>17317.670000000002</v>
      </c>
      <c r="J828" s="110">
        <v>389.95429999999999</v>
      </c>
      <c r="K828" s="110">
        <v>0.8774985678190369</v>
      </c>
      <c r="L828" s="110">
        <v>1.5871598325285521</v>
      </c>
      <c r="M828" s="110"/>
      <c r="N828" s="110"/>
      <c r="O828" s="110"/>
      <c r="P828" s="110">
        <v>90.640190000000004</v>
      </c>
      <c r="Q828" s="110"/>
      <c r="R828" s="110"/>
      <c r="S828" s="110"/>
      <c r="T828" s="110"/>
    </row>
    <row r="829" spans="1:20">
      <c r="A829" s="110" t="s">
        <v>44</v>
      </c>
      <c r="B829" s="110" t="s">
        <v>67</v>
      </c>
      <c r="C829" s="110">
        <v>12700</v>
      </c>
      <c r="D829" s="110">
        <v>26.39997</v>
      </c>
      <c r="E829" s="110">
        <v>7152</v>
      </c>
      <c r="F829" s="110">
        <v>304.94</v>
      </c>
      <c r="G829" s="110">
        <v>0.78499734392753751</v>
      </c>
      <c r="H829" s="110">
        <v>1.7024422252193705</v>
      </c>
      <c r="I829" s="110">
        <v>16775.11</v>
      </c>
      <c r="J829" s="110">
        <v>388.19310000000002</v>
      </c>
      <c r="K829" s="110">
        <v>0.87393619018050128</v>
      </c>
      <c r="L829" s="110">
        <v>1.5851493096289555</v>
      </c>
      <c r="M829" s="110"/>
      <c r="N829" s="110"/>
      <c r="O829" s="110"/>
      <c r="P829" s="110">
        <v>91.364570000000001</v>
      </c>
      <c r="Q829" s="110"/>
      <c r="R829" s="110"/>
      <c r="S829" s="110"/>
      <c r="T829" s="110"/>
    </row>
    <row r="830" spans="1:20">
      <c r="A830" s="110" t="s">
        <v>44</v>
      </c>
      <c r="B830" s="110" t="s">
        <v>67</v>
      </c>
      <c r="C830" s="110">
        <v>12700</v>
      </c>
      <c r="D830" s="110">
        <v>26.39997</v>
      </c>
      <c r="E830" s="110">
        <v>7152</v>
      </c>
      <c r="F830" s="110">
        <v>304.94</v>
      </c>
      <c r="G830" s="110">
        <v>0.78499734392753751</v>
      </c>
      <c r="H830" s="110">
        <v>1.7024422252193705</v>
      </c>
      <c r="I830" s="110">
        <v>15578.52</v>
      </c>
      <c r="J830" s="110">
        <v>384.15170000000001</v>
      </c>
      <c r="K830" s="110">
        <v>0.87022373536978048</v>
      </c>
      <c r="L830" s="110">
        <v>1.5790090916428559</v>
      </c>
      <c r="M830" s="110"/>
      <c r="N830" s="110"/>
      <c r="O830" s="110"/>
      <c r="P830" s="110">
        <v>92.789159999999995</v>
      </c>
      <c r="Q830" s="110"/>
      <c r="R830" s="110"/>
      <c r="S830" s="110"/>
      <c r="T830" s="110"/>
    </row>
    <row r="831" spans="1:20">
      <c r="A831" s="110" t="s">
        <v>44</v>
      </c>
      <c r="B831" s="110" t="s">
        <v>67</v>
      </c>
      <c r="C831" s="110">
        <v>12700</v>
      </c>
      <c r="D831" s="110">
        <v>26.39997</v>
      </c>
      <c r="E831" s="110">
        <v>7152</v>
      </c>
      <c r="F831" s="110">
        <v>304.94</v>
      </c>
      <c r="G831" s="110">
        <v>0.78499734392753751</v>
      </c>
      <c r="H831" s="110">
        <v>1.7024422252193705</v>
      </c>
      <c r="I831" s="110">
        <v>14969</v>
      </c>
      <c r="J831" s="110">
        <v>382.01029999999997</v>
      </c>
      <c r="K831" s="110">
        <v>0.86741119510094744</v>
      </c>
      <c r="L831" s="110">
        <v>1.5780048647144855</v>
      </c>
      <c r="M831" s="110"/>
      <c r="N831" s="110"/>
      <c r="O831" s="110"/>
      <c r="P831" s="110">
        <v>93.442660000000004</v>
      </c>
      <c r="Q831" s="110"/>
      <c r="R831" s="110"/>
      <c r="S831" s="110"/>
      <c r="T831" s="110"/>
    </row>
    <row r="832" spans="1:20">
      <c r="A832" s="110" t="s">
        <v>44</v>
      </c>
      <c r="B832" s="110" t="s">
        <v>67</v>
      </c>
      <c r="C832" s="110">
        <v>12700</v>
      </c>
      <c r="D832" s="110">
        <v>26.39997</v>
      </c>
      <c r="E832" s="110">
        <v>7152</v>
      </c>
      <c r="F832" s="110">
        <v>304.94</v>
      </c>
      <c r="G832" s="110">
        <v>0.78499734392753751</v>
      </c>
      <c r="H832" s="110">
        <v>1.7024422252193705</v>
      </c>
      <c r="I832" s="110">
        <v>13731.33</v>
      </c>
      <c r="J832" s="110">
        <v>377.49509999999998</v>
      </c>
      <c r="K832" s="110">
        <v>0.8653771965750382</v>
      </c>
      <c r="L832" s="110">
        <v>1.571183914110988</v>
      </c>
      <c r="M832" s="110"/>
      <c r="N832" s="110"/>
      <c r="O832" s="110"/>
      <c r="P832" s="110">
        <v>94.586399999999998</v>
      </c>
      <c r="Q832" s="110"/>
      <c r="R832" s="110"/>
      <c r="S832" s="110"/>
      <c r="T832" s="110"/>
    </row>
    <row r="833" spans="1:20">
      <c r="A833" s="110" t="s">
        <v>44</v>
      </c>
      <c r="B833" s="110" t="s">
        <v>67</v>
      </c>
      <c r="C833" s="110">
        <v>12065</v>
      </c>
      <c r="D833" s="110">
        <v>26.39997</v>
      </c>
      <c r="E833" s="110">
        <v>7152</v>
      </c>
      <c r="F833" s="110">
        <v>304.94</v>
      </c>
      <c r="G833" s="110">
        <v>0.78499734392753751</v>
      </c>
      <c r="H833" s="110">
        <v>1.7024422252193705</v>
      </c>
      <c r="I833" s="110">
        <v>22818.92</v>
      </c>
      <c r="J833" s="110">
        <v>410.58199999999999</v>
      </c>
      <c r="K833" s="110">
        <v>0.91551347471315825</v>
      </c>
      <c r="L833" s="110">
        <v>1.5713645543138544</v>
      </c>
      <c r="M833" s="110"/>
      <c r="N833" s="110"/>
      <c r="O833" s="110"/>
      <c r="P833" s="110">
        <v>49.911079999999998</v>
      </c>
      <c r="Q833" s="110"/>
      <c r="R833" s="110"/>
      <c r="S833" s="110"/>
      <c r="T833" s="110"/>
    </row>
    <row r="834" spans="1:20">
      <c r="A834" s="110" t="s">
        <v>44</v>
      </c>
      <c r="B834" s="110" t="s">
        <v>67</v>
      </c>
      <c r="C834" s="110">
        <v>12065</v>
      </c>
      <c r="D834" s="110">
        <v>26.39997</v>
      </c>
      <c r="E834" s="110">
        <v>7152</v>
      </c>
      <c r="F834" s="110">
        <v>304.94</v>
      </c>
      <c r="G834" s="110">
        <v>0.78499734392753751</v>
      </c>
      <c r="H834" s="110">
        <v>1.7024422252193705</v>
      </c>
      <c r="I834" s="110">
        <v>22636.52</v>
      </c>
      <c r="J834" s="110">
        <v>409.29849999999999</v>
      </c>
      <c r="K834" s="110">
        <v>0.91375004435342355</v>
      </c>
      <c r="L834" s="110">
        <v>1.5738008971001758</v>
      </c>
      <c r="M834" s="110"/>
      <c r="N834" s="110"/>
      <c r="O834" s="110"/>
      <c r="P834" s="110">
        <v>52.50703</v>
      </c>
      <c r="Q834" s="110"/>
      <c r="R834" s="110"/>
      <c r="S834" s="110"/>
      <c r="T834" s="110"/>
    </row>
    <row r="835" spans="1:20">
      <c r="A835" s="110" t="s">
        <v>44</v>
      </c>
      <c r="B835" s="110" t="s">
        <v>67</v>
      </c>
      <c r="C835" s="110">
        <v>12065</v>
      </c>
      <c r="D835" s="110">
        <v>26.39997</v>
      </c>
      <c r="E835" s="110">
        <v>7152</v>
      </c>
      <c r="F835" s="110">
        <v>304.94</v>
      </c>
      <c r="G835" s="110">
        <v>0.78499734392753751</v>
      </c>
      <c r="H835" s="110">
        <v>1.7024422252193705</v>
      </c>
      <c r="I835" s="110">
        <v>22572.54</v>
      </c>
      <c r="J835" s="110">
        <v>408.88060000000002</v>
      </c>
      <c r="K835" s="110">
        <v>0.91314730078752893</v>
      </c>
      <c r="L835" s="110">
        <v>1.5745406646267999</v>
      </c>
      <c r="M835" s="110"/>
      <c r="N835" s="110"/>
      <c r="O835" s="110"/>
      <c r="P835" s="110">
        <v>53.327120000000001</v>
      </c>
      <c r="Q835" s="110"/>
      <c r="R835" s="110"/>
      <c r="S835" s="110"/>
      <c r="T835" s="110"/>
    </row>
    <row r="836" spans="1:20">
      <c r="A836" s="110" t="s">
        <v>44</v>
      </c>
      <c r="B836" s="110" t="s">
        <v>67</v>
      </c>
      <c r="C836" s="110">
        <v>12065</v>
      </c>
      <c r="D836" s="110">
        <v>26.39997</v>
      </c>
      <c r="E836" s="110">
        <v>7152</v>
      </c>
      <c r="F836" s="110">
        <v>304.94</v>
      </c>
      <c r="G836" s="110">
        <v>0.78499734392753751</v>
      </c>
      <c r="H836" s="110">
        <v>1.7024422252193705</v>
      </c>
      <c r="I836" s="110">
        <v>22533.91</v>
      </c>
      <c r="J836" s="110">
        <v>408.63440000000003</v>
      </c>
      <c r="K836" s="110">
        <v>0.91278451898309565</v>
      </c>
      <c r="L836" s="110">
        <v>1.574960017882993</v>
      </c>
      <c r="M836" s="110"/>
      <c r="N836" s="110"/>
      <c r="O836" s="110"/>
      <c r="P836" s="110">
        <v>53.805</v>
      </c>
      <c r="Q836" s="110"/>
      <c r="R836" s="110"/>
      <c r="S836" s="110"/>
      <c r="T836" s="110"/>
    </row>
    <row r="837" spans="1:20">
      <c r="A837" s="110" t="s">
        <v>44</v>
      </c>
      <c r="B837" s="110" t="s">
        <v>67</v>
      </c>
      <c r="C837" s="110">
        <v>12065</v>
      </c>
      <c r="D837" s="110">
        <v>26.39997</v>
      </c>
      <c r="E837" s="110">
        <v>7152</v>
      </c>
      <c r="F837" s="110">
        <v>304.94</v>
      </c>
      <c r="G837" s="110">
        <v>0.78499734392753751</v>
      </c>
      <c r="H837" s="110">
        <v>1.7024422252193705</v>
      </c>
      <c r="I837" s="110">
        <v>22319.579999999998</v>
      </c>
      <c r="J837" s="110">
        <v>407.33569999999997</v>
      </c>
      <c r="K837" s="110">
        <v>0.91076442769696186</v>
      </c>
      <c r="L837" s="110">
        <v>1.5769782754950992</v>
      </c>
      <c r="M837" s="110"/>
      <c r="N837" s="110"/>
      <c r="O837" s="110"/>
      <c r="P837" s="110">
        <v>56.227989999999998</v>
      </c>
      <c r="Q837" s="110"/>
      <c r="R837" s="110"/>
      <c r="S837" s="110"/>
      <c r="T837" s="110"/>
    </row>
    <row r="838" spans="1:20">
      <c r="A838" s="110" t="s">
        <v>44</v>
      </c>
      <c r="B838" s="110" t="s">
        <v>67</v>
      </c>
      <c r="C838" s="110">
        <v>12065</v>
      </c>
      <c r="D838" s="110">
        <v>26.39997</v>
      </c>
      <c r="E838" s="110">
        <v>7152</v>
      </c>
      <c r="F838" s="110">
        <v>304.94</v>
      </c>
      <c r="G838" s="110">
        <v>0.78499734392753751</v>
      </c>
      <c r="H838" s="110">
        <v>1.7024422252193705</v>
      </c>
      <c r="I838" s="110">
        <v>21834.54</v>
      </c>
      <c r="J838" s="110">
        <v>404.69850000000002</v>
      </c>
      <c r="K838" s="110">
        <v>0.90598549959646979</v>
      </c>
      <c r="L838" s="110">
        <v>1.5800741106961407</v>
      </c>
      <c r="M838" s="110"/>
      <c r="N838" s="110"/>
      <c r="O838" s="110"/>
      <c r="P838" s="110">
        <v>60.791710000000002</v>
      </c>
      <c r="Q838" s="110"/>
      <c r="R838" s="110"/>
      <c r="S838" s="110"/>
      <c r="T838" s="110"/>
    </row>
    <row r="839" spans="1:20">
      <c r="A839" s="110" t="s">
        <v>44</v>
      </c>
      <c r="B839" s="110" t="s">
        <v>67</v>
      </c>
      <c r="C839" s="110">
        <v>12065</v>
      </c>
      <c r="D839" s="110">
        <v>26.39997</v>
      </c>
      <c r="E839" s="110">
        <v>7152</v>
      </c>
      <c r="F839" s="110">
        <v>304.94</v>
      </c>
      <c r="G839" s="110">
        <v>0.78499734392753751</v>
      </c>
      <c r="H839" s="110">
        <v>1.7024422252193705</v>
      </c>
      <c r="I839" s="110">
        <v>21576.47</v>
      </c>
      <c r="J839" s="110">
        <v>403.416</v>
      </c>
      <c r="K839" s="110">
        <v>0.90325940901706592</v>
      </c>
      <c r="L839" s="110">
        <v>1.5810791533234938</v>
      </c>
      <c r="M839" s="110"/>
      <c r="N839" s="110"/>
      <c r="O839" s="110"/>
      <c r="P839" s="110">
        <v>63.041049999999998</v>
      </c>
      <c r="Q839" s="110"/>
      <c r="R839" s="110"/>
      <c r="S839" s="110"/>
      <c r="T839" s="110"/>
    </row>
    <row r="840" spans="1:20">
      <c r="A840" s="110" t="s">
        <v>44</v>
      </c>
      <c r="B840" s="110" t="s">
        <v>67</v>
      </c>
      <c r="C840" s="110">
        <v>12065</v>
      </c>
      <c r="D840" s="110">
        <v>26.39997</v>
      </c>
      <c r="E840" s="110">
        <v>7152</v>
      </c>
      <c r="F840" s="110">
        <v>304.94</v>
      </c>
      <c r="G840" s="110">
        <v>0.78499734392753751</v>
      </c>
      <c r="H840" s="110">
        <v>1.7024422252193705</v>
      </c>
      <c r="I840" s="110">
        <v>21013.38</v>
      </c>
      <c r="J840" s="110">
        <v>400.83080000000001</v>
      </c>
      <c r="K840" s="110">
        <v>0.89668306804040487</v>
      </c>
      <c r="L840" s="110">
        <v>1.5815779708273927</v>
      </c>
      <c r="M840" s="110"/>
      <c r="N840" s="110"/>
      <c r="O840" s="110"/>
      <c r="P840" s="110">
        <v>67.359369999999998</v>
      </c>
      <c r="Q840" s="110"/>
      <c r="R840" s="110"/>
      <c r="S840" s="110"/>
      <c r="T840" s="110"/>
    </row>
    <row r="841" spans="1:20">
      <c r="A841" s="110" t="s">
        <v>44</v>
      </c>
      <c r="B841" s="110" t="s">
        <v>67</v>
      </c>
      <c r="C841" s="110">
        <v>12065</v>
      </c>
      <c r="D841" s="110">
        <v>26.39997</v>
      </c>
      <c r="E841" s="110">
        <v>7152</v>
      </c>
      <c r="F841" s="110">
        <v>304.94</v>
      </c>
      <c r="G841" s="110">
        <v>0.78499734392753751</v>
      </c>
      <c r="H841" s="110">
        <v>1.7024422252193705</v>
      </c>
      <c r="I841" s="110">
        <v>20714.52</v>
      </c>
      <c r="J841" s="110">
        <v>399.5763</v>
      </c>
      <c r="K841" s="110">
        <v>0.89284198126411052</v>
      </c>
      <c r="L841" s="110">
        <v>1.5808997599854802</v>
      </c>
      <c r="M841" s="110"/>
      <c r="N841" s="110"/>
      <c r="O841" s="110"/>
      <c r="P841" s="110">
        <v>69.181820000000002</v>
      </c>
      <c r="Q841" s="110"/>
      <c r="R841" s="110"/>
      <c r="S841" s="110"/>
      <c r="T841" s="110"/>
    </row>
    <row r="842" spans="1:20">
      <c r="A842" s="110" t="s">
        <v>44</v>
      </c>
      <c r="B842" s="110" t="s">
        <v>67</v>
      </c>
      <c r="C842" s="110">
        <v>12065</v>
      </c>
      <c r="D842" s="110">
        <v>26.39997</v>
      </c>
      <c r="E842" s="110">
        <v>7152</v>
      </c>
      <c r="F842" s="110">
        <v>304.94</v>
      </c>
      <c r="G842" s="110">
        <v>0.78499734392753751</v>
      </c>
      <c r="H842" s="110">
        <v>1.7024422252193705</v>
      </c>
      <c r="I842" s="110">
        <v>20235.34</v>
      </c>
      <c r="J842" s="110">
        <v>397.6567</v>
      </c>
      <c r="K842" s="110">
        <v>0.88983019895929549</v>
      </c>
      <c r="L842" s="110">
        <v>1.5951938573057347</v>
      </c>
      <c r="M842" s="110"/>
      <c r="N842" s="110"/>
      <c r="O842" s="110"/>
      <c r="P842" s="110">
        <v>71.730770000000007</v>
      </c>
      <c r="Q842" s="110"/>
      <c r="R842" s="110"/>
      <c r="S842" s="110"/>
      <c r="T842" s="110"/>
    </row>
    <row r="843" spans="1:20">
      <c r="A843" s="110" t="s">
        <v>44</v>
      </c>
      <c r="B843" s="110" t="s">
        <v>67</v>
      </c>
      <c r="C843" s="110">
        <v>12065</v>
      </c>
      <c r="D843" s="110">
        <v>26.39997</v>
      </c>
      <c r="E843" s="110">
        <v>7152</v>
      </c>
      <c r="F843" s="110">
        <v>304.94</v>
      </c>
      <c r="G843" s="110">
        <v>0.78499734392753751</v>
      </c>
      <c r="H843" s="110">
        <v>1.7024422252193705</v>
      </c>
      <c r="I843" s="110">
        <v>19980.12</v>
      </c>
      <c r="J843" s="110">
        <v>396.6508</v>
      </c>
      <c r="K843" s="110">
        <v>0.88869698284747722</v>
      </c>
      <c r="L843" s="110">
        <v>1.5953745422212926</v>
      </c>
      <c r="M843" s="110"/>
      <c r="N843" s="110"/>
      <c r="O843" s="110"/>
      <c r="P843" s="110">
        <v>73.00367</v>
      </c>
      <c r="Q843" s="110"/>
      <c r="R843" s="110"/>
      <c r="S843" s="110"/>
      <c r="T843" s="110"/>
    </row>
    <row r="844" spans="1:20">
      <c r="A844" s="110" t="s">
        <v>44</v>
      </c>
      <c r="B844" s="110" t="s">
        <v>67</v>
      </c>
      <c r="C844" s="110">
        <v>12065</v>
      </c>
      <c r="D844" s="110">
        <v>26.39997</v>
      </c>
      <c r="E844" s="110">
        <v>7152</v>
      </c>
      <c r="F844" s="110">
        <v>304.94</v>
      </c>
      <c r="G844" s="110">
        <v>0.78499734392753751</v>
      </c>
      <c r="H844" s="110">
        <v>1.7024422252193705</v>
      </c>
      <c r="I844" s="110">
        <v>19055.05</v>
      </c>
      <c r="J844" s="110">
        <v>393.1223</v>
      </c>
      <c r="K844" s="110">
        <v>0.88223121984393571</v>
      </c>
      <c r="L844" s="110">
        <v>1.5946255049455449</v>
      </c>
      <c r="M844" s="110"/>
      <c r="N844" s="110"/>
      <c r="O844" s="110"/>
      <c r="P844" s="110">
        <v>77.031610000000001</v>
      </c>
      <c r="Q844" s="110"/>
      <c r="R844" s="110"/>
      <c r="S844" s="110"/>
      <c r="T844" s="110"/>
    </row>
    <row r="845" spans="1:20">
      <c r="A845" s="110" t="s">
        <v>44</v>
      </c>
      <c r="B845" s="110" t="s">
        <v>67</v>
      </c>
      <c r="C845" s="110">
        <v>12065</v>
      </c>
      <c r="D845" s="110">
        <v>26.39997</v>
      </c>
      <c r="E845" s="110">
        <v>7152</v>
      </c>
      <c r="F845" s="110">
        <v>304.94</v>
      </c>
      <c r="G845" s="110">
        <v>0.78499734392753751</v>
      </c>
      <c r="H845" s="110">
        <v>1.7024422252193705</v>
      </c>
      <c r="I845" s="110">
        <v>18532.82</v>
      </c>
      <c r="J845" s="110">
        <v>391.23090000000002</v>
      </c>
      <c r="K845" s="110">
        <v>0.87700386408547493</v>
      </c>
      <c r="L845" s="110">
        <v>1.5930937834598733</v>
      </c>
      <c r="M845" s="110"/>
      <c r="N845" s="110"/>
      <c r="O845" s="110"/>
      <c r="P845" s="110">
        <v>78.759950000000003</v>
      </c>
      <c r="Q845" s="110"/>
      <c r="R845" s="110"/>
      <c r="S845" s="110"/>
      <c r="T845" s="110"/>
    </row>
    <row r="846" spans="1:20">
      <c r="A846" s="110" t="s">
        <v>44</v>
      </c>
      <c r="B846" s="110" t="s">
        <v>67</v>
      </c>
      <c r="C846" s="110">
        <v>12065</v>
      </c>
      <c r="D846" s="110">
        <v>26.39997</v>
      </c>
      <c r="E846" s="110">
        <v>7152</v>
      </c>
      <c r="F846" s="110">
        <v>304.94</v>
      </c>
      <c r="G846" s="110">
        <v>0.78499734392753751</v>
      </c>
      <c r="H846" s="110">
        <v>1.7024422252193705</v>
      </c>
      <c r="I846" s="110">
        <v>17640.330000000002</v>
      </c>
      <c r="J846" s="110">
        <v>388.04489999999998</v>
      </c>
      <c r="K846" s="110">
        <v>0.87346182585803867</v>
      </c>
      <c r="L846" s="110">
        <v>1.6016294642014841</v>
      </c>
      <c r="M846" s="110"/>
      <c r="N846" s="110"/>
      <c r="O846" s="110"/>
      <c r="P846" s="110">
        <v>81.311199999999999</v>
      </c>
      <c r="Q846" s="110"/>
      <c r="R846" s="110"/>
      <c r="S846" s="110"/>
      <c r="T846" s="110"/>
    </row>
    <row r="847" spans="1:20">
      <c r="A847" s="110" t="s">
        <v>44</v>
      </c>
      <c r="B847" s="110" t="s">
        <v>67</v>
      </c>
      <c r="C847" s="110">
        <v>12065</v>
      </c>
      <c r="D847" s="110">
        <v>26.39997</v>
      </c>
      <c r="E847" s="110">
        <v>7152</v>
      </c>
      <c r="F847" s="110">
        <v>304.94</v>
      </c>
      <c r="G847" s="110">
        <v>0.78499734392753751</v>
      </c>
      <c r="H847" s="110">
        <v>1.7024422252193705</v>
      </c>
      <c r="I847" s="110">
        <v>17073.39</v>
      </c>
      <c r="J847" s="110">
        <v>386.07130000000001</v>
      </c>
      <c r="K847" s="110">
        <v>0.87052169355889641</v>
      </c>
      <c r="L847" s="110">
        <v>1.6006411926774586</v>
      </c>
      <c r="M847" s="110"/>
      <c r="N847" s="110"/>
      <c r="O847" s="110"/>
      <c r="P847" s="110">
        <v>82.644900000000007</v>
      </c>
      <c r="Q847" s="110"/>
      <c r="R847" s="110"/>
      <c r="S847" s="110"/>
      <c r="T847" s="110"/>
    </row>
    <row r="848" spans="1:20">
      <c r="A848" s="110" t="s">
        <v>44</v>
      </c>
      <c r="B848" s="110" t="s">
        <v>67</v>
      </c>
      <c r="C848" s="110">
        <v>12065</v>
      </c>
      <c r="D848" s="110">
        <v>26.39997</v>
      </c>
      <c r="E848" s="110">
        <v>7152</v>
      </c>
      <c r="F848" s="110">
        <v>304.94</v>
      </c>
      <c r="G848" s="110">
        <v>0.78499734392753751</v>
      </c>
      <c r="H848" s="110">
        <v>1.7024422252193705</v>
      </c>
      <c r="I848" s="110">
        <v>15933.690000000002</v>
      </c>
      <c r="J848" s="110">
        <v>382.10939999999999</v>
      </c>
      <c r="K848" s="110">
        <v>0.86465963994819484</v>
      </c>
      <c r="L848" s="110">
        <v>1.5967029698763087</v>
      </c>
      <c r="M848" s="110"/>
      <c r="N848" s="110"/>
      <c r="O848" s="110"/>
      <c r="P848" s="110">
        <v>84.623620000000003</v>
      </c>
      <c r="Q848" s="110"/>
      <c r="R848" s="110"/>
      <c r="S848" s="110"/>
      <c r="T848" s="110"/>
    </row>
    <row r="849" spans="1:20">
      <c r="A849" s="110" t="s">
        <v>44</v>
      </c>
      <c r="B849" s="110" t="s">
        <v>67</v>
      </c>
      <c r="C849" s="110">
        <v>12065</v>
      </c>
      <c r="D849" s="110">
        <v>26.39997</v>
      </c>
      <c r="E849" s="110">
        <v>7152</v>
      </c>
      <c r="F849" s="110">
        <v>304.94</v>
      </c>
      <c r="G849" s="110">
        <v>0.78499734392753751</v>
      </c>
      <c r="H849" s="110">
        <v>1.7024422252193705</v>
      </c>
      <c r="I849" s="110">
        <v>15477.69</v>
      </c>
      <c r="J849" s="110">
        <v>380.49990000000003</v>
      </c>
      <c r="K849" s="110">
        <v>0.86402904547625803</v>
      </c>
      <c r="L849" s="110">
        <v>1.5965705781744468</v>
      </c>
      <c r="M849" s="110"/>
      <c r="N849" s="110"/>
      <c r="O849" s="110"/>
      <c r="P849" s="110">
        <v>85.276989999999998</v>
      </c>
      <c r="Q849" s="110"/>
      <c r="R849" s="110"/>
      <c r="S849" s="110"/>
      <c r="T849" s="110"/>
    </row>
    <row r="850" spans="1:20">
      <c r="A850" s="110" t="s">
        <v>44</v>
      </c>
      <c r="B850" s="110" t="s">
        <v>67</v>
      </c>
      <c r="C850" s="110">
        <v>12065</v>
      </c>
      <c r="D850" s="110">
        <v>26.39997</v>
      </c>
      <c r="E850" s="110">
        <v>7152</v>
      </c>
      <c r="F850" s="110">
        <v>304.94</v>
      </c>
      <c r="G850" s="110">
        <v>0.78499734392753751</v>
      </c>
      <c r="H850" s="110">
        <v>1.7024422252193705</v>
      </c>
      <c r="I850" s="110">
        <v>14573.150000000001</v>
      </c>
      <c r="J850" s="110">
        <v>377.19920000000002</v>
      </c>
      <c r="K850" s="110">
        <v>0.85763560521525461</v>
      </c>
      <c r="L850" s="110">
        <v>1.5950819981190612</v>
      </c>
      <c r="M850" s="110"/>
      <c r="N850" s="110"/>
      <c r="O850" s="110"/>
      <c r="P850" s="110">
        <v>86.500299999999996</v>
      </c>
      <c r="Q850" s="110"/>
      <c r="R850" s="110"/>
      <c r="S850" s="110"/>
      <c r="T850" s="110"/>
    </row>
    <row r="851" spans="1:20">
      <c r="A851" s="110" t="s">
        <v>44</v>
      </c>
      <c r="B851" s="110" t="s">
        <v>67</v>
      </c>
      <c r="C851" s="110">
        <v>12065</v>
      </c>
      <c r="D851" s="110">
        <v>26.39997</v>
      </c>
      <c r="E851" s="110">
        <v>7152</v>
      </c>
      <c r="F851" s="110">
        <v>304.94</v>
      </c>
      <c r="G851" s="110">
        <v>0.78499734392753751</v>
      </c>
      <c r="H851" s="110">
        <v>1.7024422252193705</v>
      </c>
      <c r="I851" s="110">
        <v>14008.32</v>
      </c>
      <c r="J851" s="110">
        <v>375.07240000000002</v>
      </c>
      <c r="K851" s="110">
        <v>0.85910964962359893</v>
      </c>
      <c r="L851" s="110">
        <v>1.5835422182191148</v>
      </c>
      <c r="M851" s="110"/>
      <c r="N851" s="110"/>
      <c r="O851" s="110"/>
      <c r="P851" s="110">
        <v>87.223190000000002</v>
      </c>
      <c r="Q851" s="110"/>
      <c r="R851" s="110"/>
      <c r="S851" s="110"/>
      <c r="T851" s="110"/>
    </row>
    <row r="852" spans="1:20">
      <c r="A852" s="110" t="s">
        <v>44</v>
      </c>
      <c r="B852" s="110" t="s">
        <v>67</v>
      </c>
      <c r="C852" s="110">
        <v>12065</v>
      </c>
      <c r="D852" s="110">
        <v>26.39997</v>
      </c>
      <c r="E852" s="110">
        <v>7152</v>
      </c>
      <c r="F852" s="110">
        <v>304.94</v>
      </c>
      <c r="G852" s="110">
        <v>0.78499734392753751</v>
      </c>
      <c r="H852" s="110">
        <v>1.7024422252193705</v>
      </c>
      <c r="I852" s="110">
        <v>12754.89</v>
      </c>
      <c r="J852" s="110">
        <v>370.23070000000001</v>
      </c>
      <c r="K852" s="110">
        <v>0.85597442335538998</v>
      </c>
      <c r="L852" s="110">
        <v>1.572279762323572</v>
      </c>
      <c r="M852" s="110"/>
      <c r="N852" s="110"/>
      <c r="O852" s="110"/>
      <c r="P852" s="110">
        <v>88.489400000000003</v>
      </c>
      <c r="Q852" s="110"/>
      <c r="R852" s="110"/>
      <c r="S852" s="110"/>
      <c r="T852" s="110"/>
    </row>
    <row r="853" spans="1:20">
      <c r="A853" s="110" t="s">
        <v>44</v>
      </c>
      <c r="B853" s="110" t="s">
        <v>67</v>
      </c>
      <c r="C853" s="110">
        <v>11430</v>
      </c>
      <c r="D853" s="110">
        <v>26.39997</v>
      </c>
      <c r="E853" s="110">
        <v>7152</v>
      </c>
      <c r="F853" s="110">
        <v>304.94</v>
      </c>
      <c r="G853" s="110">
        <v>0.78499734392753751</v>
      </c>
      <c r="H853" s="110">
        <v>1.7024422252193705</v>
      </c>
      <c r="I853" s="110">
        <v>20736.670000000002</v>
      </c>
      <c r="J853" s="110">
        <v>401.99759999999998</v>
      </c>
      <c r="K853" s="110">
        <v>0.89694109084564055</v>
      </c>
      <c r="L853" s="110">
        <v>1.5716089538160589</v>
      </c>
      <c r="M853" s="110"/>
      <c r="N853" s="110"/>
      <c r="O853" s="110"/>
      <c r="P853" s="110">
        <v>45.033589999999997</v>
      </c>
      <c r="Q853" s="110"/>
      <c r="R853" s="110"/>
      <c r="S853" s="110"/>
      <c r="T853" s="110"/>
    </row>
    <row r="854" spans="1:20">
      <c r="A854" s="110" t="s">
        <v>44</v>
      </c>
      <c r="B854" s="110" t="s">
        <v>67</v>
      </c>
      <c r="C854" s="110">
        <v>11430</v>
      </c>
      <c r="D854" s="110">
        <v>26.39997</v>
      </c>
      <c r="E854" s="110">
        <v>7152</v>
      </c>
      <c r="F854" s="110">
        <v>304.94</v>
      </c>
      <c r="G854" s="110">
        <v>0.78499734392753751</v>
      </c>
      <c r="H854" s="110">
        <v>1.7024422252193705</v>
      </c>
      <c r="I854" s="110">
        <v>20698.16</v>
      </c>
      <c r="J854" s="110">
        <v>401.66520000000003</v>
      </c>
      <c r="K854" s="110">
        <v>0.89615464465993033</v>
      </c>
      <c r="L854" s="110">
        <v>1.5722056357897298</v>
      </c>
      <c r="M854" s="110"/>
      <c r="N854" s="110"/>
      <c r="O854" s="110"/>
      <c r="P854" s="110">
        <v>45.722659999999998</v>
      </c>
      <c r="Q854" s="110"/>
      <c r="R854" s="110"/>
      <c r="S854" s="110"/>
      <c r="T854" s="110"/>
    </row>
    <row r="855" spans="1:20">
      <c r="A855" s="110" t="s">
        <v>44</v>
      </c>
      <c r="B855" s="110" t="s">
        <v>67</v>
      </c>
      <c r="C855" s="110">
        <v>11430</v>
      </c>
      <c r="D855" s="110">
        <v>26.39997</v>
      </c>
      <c r="E855" s="110">
        <v>7152</v>
      </c>
      <c r="F855" s="110">
        <v>304.94</v>
      </c>
      <c r="G855" s="110">
        <v>0.78499734392753751</v>
      </c>
      <c r="H855" s="110">
        <v>1.7024422252193705</v>
      </c>
      <c r="I855" s="110">
        <v>20668.620000000003</v>
      </c>
      <c r="J855" s="110">
        <v>401.42039999999997</v>
      </c>
      <c r="K855" s="110">
        <v>0.8955606190674763</v>
      </c>
      <c r="L855" s="110">
        <v>1.5726071689778049</v>
      </c>
      <c r="M855" s="110"/>
      <c r="N855" s="110"/>
      <c r="O855" s="110"/>
      <c r="P855" s="110">
        <v>46.223210000000002</v>
      </c>
      <c r="Q855" s="110"/>
      <c r="R855" s="110"/>
      <c r="S855" s="110"/>
      <c r="T855" s="110"/>
    </row>
    <row r="856" spans="1:20">
      <c r="A856" s="110" t="s">
        <v>44</v>
      </c>
      <c r="B856" s="110" t="s">
        <v>67</v>
      </c>
      <c r="C856" s="110">
        <v>11430</v>
      </c>
      <c r="D856" s="110">
        <v>26.39997</v>
      </c>
      <c r="E856" s="110">
        <v>7152</v>
      </c>
      <c r="F856" s="110">
        <v>304.94</v>
      </c>
      <c r="G856" s="110">
        <v>0.78499734392753751</v>
      </c>
      <c r="H856" s="110">
        <v>1.7024422252193705</v>
      </c>
      <c r="I856" s="110">
        <v>20465.150000000001</v>
      </c>
      <c r="J856" s="110">
        <v>399.88400000000001</v>
      </c>
      <c r="K856" s="110">
        <v>0.89276587349947334</v>
      </c>
      <c r="L856" s="110">
        <v>1.5885633038825044</v>
      </c>
      <c r="M856" s="110"/>
      <c r="N856" s="110"/>
      <c r="O856" s="110"/>
      <c r="P856" s="110">
        <v>49.250100000000003</v>
      </c>
      <c r="Q856" s="110"/>
      <c r="R856" s="110"/>
      <c r="S856" s="110"/>
      <c r="T856" s="110"/>
    </row>
    <row r="857" spans="1:20">
      <c r="A857" s="110" t="s">
        <v>44</v>
      </c>
      <c r="B857" s="110" t="s">
        <v>67</v>
      </c>
      <c r="C857" s="110">
        <v>11430</v>
      </c>
      <c r="D857" s="110">
        <v>26.39997</v>
      </c>
      <c r="E857" s="110">
        <v>7152</v>
      </c>
      <c r="F857" s="110">
        <v>304.94</v>
      </c>
      <c r="G857" s="110">
        <v>0.78499734392753751</v>
      </c>
      <c r="H857" s="110">
        <v>1.7024422252193705</v>
      </c>
      <c r="I857" s="110">
        <v>20040.190000000002</v>
      </c>
      <c r="J857" s="110">
        <v>397.18599999999998</v>
      </c>
      <c r="K857" s="110">
        <v>0.88948854433282876</v>
      </c>
      <c r="L857" s="110">
        <v>1.5938749832759787</v>
      </c>
      <c r="M857" s="110"/>
      <c r="N857" s="110"/>
      <c r="O857" s="110"/>
      <c r="P857" s="110">
        <v>53.981769999999997</v>
      </c>
      <c r="Q857" s="110"/>
      <c r="R857" s="110"/>
      <c r="S857" s="110"/>
      <c r="T857" s="110"/>
    </row>
    <row r="858" spans="1:20">
      <c r="A858" s="110" t="s">
        <v>44</v>
      </c>
      <c r="B858" s="110" t="s">
        <v>67</v>
      </c>
      <c r="C858" s="110">
        <v>11430</v>
      </c>
      <c r="D858" s="110">
        <v>26.39997</v>
      </c>
      <c r="E858" s="110">
        <v>7152</v>
      </c>
      <c r="F858" s="110">
        <v>304.94</v>
      </c>
      <c r="G858" s="110">
        <v>0.78499734392753751</v>
      </c>
      <c r="H858" s="110">
        <v>1.7024422252193705</v>
      </c>
      <c r="I858" s="110">
        <v>19757.599999999999</v>
      </c>
      <c r="J858" s="110">
        <v>395.5847</v>
      </c>
      <c r="K858" s="110">
        <v>0.88714192568659145</v>
      </c>
      <c r="L858" s="110">
        <v>1.5963909336124331</v>
      </c>
      <c r="M858" s="110"/>
      <c r="N858" s="110"/>
      <c r="O858" s="110"/>
      <c r="P858" s="110">
        <v>56.747059999999998</v>
      </c>
      <c r="Q858" s="110"/>
      <c r="R858" s="110"/>
      <c r="S858" s="110"/>
      <c r="T858" s="110"/>
    </row>
    <row r="859" spans="1:20">
      <c r="A859" s="110" t="s">
        <v>44</v>
      </c>
      <c r="B859" s="110" t="s">
        <v>67</v>
      </c>
      <c r="C859" s="110">
        <v>11430</v>
      </c>
      <c r="D859" s="110">
        <v>26.39997</v>
      </c>
      <c r="E859" s="110">
        <v>7152</v>
      </c>
      <c r="F859" s="110">
        <v>304.94</v>
      </c>
      <c r="G859" s="110">
        <v>0.78499734392753751</v>
      </c>
      <c r="H859" s="110">
        <v>1.7024422252193705</v>
      </c>
      <c r="I859" s="110">
        <v>19572.02</v>
      </c>
      <c r="J859" s="110">
        <v>394.60509999999999</v>
      </c>
      <c r="K859" s="110">
        <v>0.8855133040420663</v>
      </c>
      <c r="L859" s="110">
        <v>1.5976411511285622</v>
      </c>
      <c r="M859" s="110"/>
      <c r="N859" s="110"/>
      <c r="O859" s="110"/>
      <c r="P859" s="110">
        <v>58.435740000000003</v>
      </c>
      <c r="Q859" s="110"/>
      <c r="R859" s="110"/>
      <c r="S859" s="110"/>
      <c r="T859" s="110"/>
    </row>
    <row r="860" spans="1:20">
      <c r="A860" s="110" t="s">
        <v>44</v>
      </c>
      <c r="B860" s="110" t="s">
        <v>67</v>
      </c>
      <c r="C860" s="110">
        <v>11430</v>
      </c>
      <c r="D860" s="110">
        <v>26.39997</v>
      </c>
      <c r="E860" s="110">
        <v>7152</v>
      </c>
      <c r="F860" s="110">
        <v>304.94</v>
      </c>
      <c r="G860" s="110">
        <v>0.78499734392753751</v>
      </c>
      <c r="H860" s="110">
        <v>1.7024422252193705</v>
      </c>
      <c r="I860" s="110">
        <v>19536.47</v>
      </c>
      <c r="J860" s="110">
        <v>394.42169999999999</v>
      </c>
      <c r="K860" s="110">
        <v>0.88518980042663242</v>
      </c>
      <c r="L860" s="110">
        <v>1.597854799960823</v>
      </c>
      <c r="M860" s="110"/>
      <c r="N860" s="110"/>
      <c r="O860" s="110"/>
      <c r="P860" s="110">
        <v>58.75376</v>
      </c>
      <c r="Q860" s="110"/>
      <c r="R860" s="110"/>
      <c r="S860" s="110"/>
      <c r="T860" s="110"/>
    </row>
    <row r="861" spans="1:20">
      <c r="A861" s="110" t="s">
        <v>44</v>
      </c>
      <c r="B861" s="110" t="s">
        <v>67</v>
      </c>
      <c r="C861" s="110">
        <v>11430</v>
      </c>
      <c r="D861" s="110">
        <v>26.39997</v>
      </c>
      <c r="E861" s="110">
        <v>7152</v>
      </c>
      <c r="F861" s="110">
        <v>304.94</v>
      </c>
      <c r="G861" s="110">
        <v>0.78499734392753751</v>
      </c>
      <c r="H861" s="110">
        <v>1.7024422252193705</v>
      </c>
      <c r="I861" s="110">
        <v>19134.460000000003</v>
      </c>
      <c r="J861" s="110">
        <v>392.42829999999998</v>
      </c>
      <c r="K861" s="110">
        <v>0.88125309354127368</v>
      </c>
      <c r="L861" s="110">
        <v>1.5997527012350086</v>
      </c>
      <c r="M861" s="110"/>
      <c r="N861" s="110"/>
      <c r="O861" s="110"/>
      <c r="P861" s="110">
        <v>61.930610000000001</v>
      </c>
      <c r="Q861" s="110"/>
      <c r="R861" s="110"/>
      <c r="S861" s="110"/>
      <c r="T861" s="110"/>
    </row>
    <row r="862" spans="1:20">
      <c r="A862" s="110" t="s">
        <v>44</v>
      </c>
      <c r="B862" s="110" t="s">
        <v>67</v>
      </c>
      <c r="C862" s="110">
        <v>11430</v>
      </c>
      <c r="D862" s="110">
        <v>26.39997</v>
      </c>
      <c r="E862" s="110">
        <v>7152</v>
      </c>
      <c r="F862" s="110">
        <v>304.94</v>
      </c>
      <c r="G862" s="110">
        <v>0.78499734392753751</v>
      </c>
      <c r="H862" s="110">
        <v>1.7024422252193705</v>
      </c>
      <c r="I862" s="110">
        <v>18904.32</v>
      </c>
      <c r="J862" s="110">
        <v>391.37209999999999</v>
      </c>
      <c r="K862" s="110">
        <v>0.87880376333405053</v>
      </c>
      <c r="L862" s="110">
        <v>1.6003081525683538</v>
      </c>
      <c r="M862" s="110"/>
      <c r="N862" s="110"/>
      <c r="O862" s="110"/>
      <c r="P862" s="110">
        <v>63.438299999999998</v>
      </c>
      <c r="Q862" s="110"/>
      <c r="R862" s="110"/>
      <c r="S862" s="110"/>
      <c r="T862" s="110"/>
    </row>
    <row r="863" spans="1:20">
      <c r="A863" s="110" t="s">
        <v>44</v>
      </c>
      <c r="B863" s="110" t="s">
        <v>67</v>
      </c>
      <c r="C863" s="110">
        <v>11430</v>
      </c>
      <c r="D863" s="110">
        <v>26.39997</v>
      </c>
      <c r="E863" s="110">
        <v>7152</v>
      </c>
      <c r="F863" s="110">
        <v>304.94</v>
      </c>
      <c r="G863" s="110">
        <v>0.78499734392753751</v>
      </c>
      <c r="H863" s="110">
        <v>1.7024422252193705</v>
      </c>
      <c r="I863" s="110">
        <v>18495.349999999999</v>
      </c>
      <c r="J863" s="110">
        <v>389.57760000000002</v>
      </c>
      <c r="K863" s="110">
        <v>0.87383557153148794</v>
      </c>
      <c r="L863" s="110">
        <v>1.6000105309345878</v>
      </c>
      <c r="M863" s="110"/>
      <c r="N863" s="110"/>
      <c r="O863" s="110"/>
      <c r="P863" s="110">
        <v>65.805109999999999</v>
      </c>
      <c r="Q863" s="110"/>
      <c r="R863" s="110"/>
      <c r="S863" s="110"/>
      <c r="T863" s="110"/>
    </row>
    <row r="864" spans="1:20">
      <c r="A864" s="110" t="s">
        <v>44</v>
      </c>
      <c r="B864" s="110" t="s">
        <v>67</v>
      </c>
      <c r="C864" s="110">
        <v>11430</v>
      </c>
      <c r="D864" s="110">
        <v>26.39997</v>
      </c>
      <c r="E864" s="110">
        <v>7152</v>
      </c>
      <c r="F864" s="110">
        <v>304.94</v>
      </c>
      <c r="G864" s="110">
        <v>0.78499734392753751</v>
      </c>
      <c r="H864" s="110">
        <v>1.7024422252193705</v>
      </c>
      <c r="I864" s="110">
        <v>18275.61</v>
      </c>
      <c r="J864" s="110">
        <v>388.62860000000001</v>
      </c>
      <c r="K864" s="110">
        <v>0.87154836098414534</v>
      </c>
      <c r="L864" s="110">
        <v>1.6067150618362818</v>
      </c>
      <c r="M864" s="110"/>
      <c r="N864" s="110"/>
      <c r="O864" s="110"/>
      <c r="P864" s="110">
        <v>67.008380000000002</v>
      </c>
      <c r="Q864" s="110"/>
      <c r="R864" s="110"/>
      <c r="S864" s="110"/>
      <c r="T864" s="110"/>
    </row>
    <row r="865" spans="1:20">
      <c r="A865" s="110" t="s">
        <v>44</v>
      </c>
      <c r="B865" s="110" t="s">
        <v>67</v>
      </c>
      <c r="C865" s="110">
        <v>11430</v>
      </c>
      <c r="D865" s="110">
        <v>26.39997</v>
      </c>
      <c r="E865" s="110">
        <v>7152</v>
      </c>
      <c r="F865" s="110">
        <v>304.94</v>
      </c>
      <c r="G865" s="110">
        <v>0.78499734392753751</v>
      </c>
      <c r="H865" s="110">
        <v>1.7024422252193705</v>
      </c>
      <c r="I865" s="110">
        <v>17476.150000000001</v>
      </c>
      <c r="J865" s="110">
        <v>385.27789999999999</v>
      </c>
      <c r="K865" s="110">
        <v>0.86878657236101342</v>
      </c>
      <c r="L865" s="110">
        <v>1.60838389074654</v>
      </c>
      <c r="M865" s="110"/>
      <c r="N865" s="110"/>
      <c r="O865" s="110"/>
      <c r="P865" s="110">
        <v>70.901269999999997</v>
      </c>
      <c r="Q865" s="110"/>
      <c r="R865" s="110"/>
      <c r="S865" s="110"/>
      <c r="T865" s="110"/>
    </row>
    <row r="866" spans="1:20">
      <c r="A866" s="110" t="s">
        <v>44</v>
      </c>
      <c r="B866" s="110" t="s">
        <v>67</v>
      </c>
      <c r="C866" s="110">
        <v>11430</v>
      </c>
      <c r="D866" s="110">
        <v>26.39997</v>
      </c>
      <c r="E866" s="110">
        <v>7152</v>
      </c>
      <c r="F866" s="110">
        <v>304.94</v>
      </c>
      <c r="G866" s="110">
        <v>0.78499734392753751</v>
      </c>
      <c r="H866" s="110">
        <v>1.7024422252193705</v>
      </c>
      <c r="I866" s="110">
        <v>17031.849999999999</v>
      </c>
      <c r="J866" s="110">
        <v>383.50760000000002</v>
      </c>
      <c r="K866" s="110">
        <v>0.86579563784283253</v>
      </c>
      <c r="L866" s="110">
        <v>1.6083620990238054</v>
      </c>
      <c r="M866" s="110"/>
      <c r="N866" s="110"/>
      <c r="O866" s="110"/>
      <c r="P866" s="110">
        <v>72.613069999999993</v>
      </c>
      <c r="Q866" s="110"/>
      <c r="R866" s="110"/>
      <c r="S866" s="110"/>
      <c r="T866" s="110"/>
    </row>
    <row r="867" spans="1:20">
      <c r="A867" s="110" t="s">
        <v>44</v>
      </c>
      <c r="B867" s="110" t="s">
        <v>67</v>
      </c>
      <c r="C867" s="110">
        <v>11430</v>
      </c>
      <c r="D867" s="110">
        <v>26.39997</v>
      </c>
      <c r="E867" s="110">
        <v>7152</v>
      </c>
      <c r="F867" s="110">
        <v>304.94</v>
      </c>
      <c r="G867" s="110">
        <v>0.78499734392753751</v>
      </c>
      <c r="H867" s="110">
        <v>1.7024422252193705</v>
      </c>
      <c r="I867" s="110">
        <v>16189.330000000002</v>
      </c>
      <c r="J867" s="110">
        <v>380.24400000000003</v>
      </c>
      <c r="K867" s="110">
        <v>0.85925931291364299</v>
      </c>
      <c r="L867" s="110">
        <v>1.6113401460745926</v>
      </c>
      <c r="M867" s="110"/>
      <c r="N867" s="110"/>
      <c r="O867" s="110"/>
      <c r="P867" s="110">
        <v>75.255359999999996</v>
      </c>
      <c r="Q867" s="110"/>
      <c r="R867" s="110"/>
      <c r="S867" s="110"/>
      <c r="T867" s="110"/>
    </row>
    <row r="868" spans="1:20">
      <c r="A868" s="110" t="s">
        <v>44</v>
      </c>
      <c r="B868" s="110" t="s">
        <v>67</v>
      </c>
      <c r="C868" s="110">
        <v>11430</v>
      </c>
      <c r="D868" s="110">
        <v>26.39997</v>
      </c>
      <c r="E868" s="110">
        <v>7152</v>
      </c>
      <c r="F868" s="110">
        <v>304.94</v>
      </c>
      <c r="G868" s="110">
        <v>0.78499734392753751</v>
      </c>
      <c r="H868" s="110">
        <v>1.7024422252193705</v>
      </c>
      <c r="I868" s="110">
        <v>15753.08</v>
      </c>
      <c r="J868" s="110">
        <v>378.57639999999998</v>
      </c>
      <c r="K868" s="110">
        <v>0.85908622285248004</v>
      </c>
      <c r="L868" s="110">
        <v>1.61179188937402</v>
      </c>
      <c r="M868" s="110"/>
      <c r="N868" s="110"/>
      <c r="O868" s="110"/>
      <c r="P868" s="110">
        <v>76.403310000000005</v>
      </c>
      <c r="Q868" s="110"/>
      <c r="R868" s="110"/>
      <c r="S868" s="110"/>
      <c r="T868" s="110"/>
    </row>
    <row r="869" spans="1:20">
      <c r="A869" s="110" t="s">
        <v>44</v>
      </c>
      <c r="B869" s="110" t="s">
        <v>67</v>
      </c>
      <c r="C869" s="110">
        <v>11430</v>
      </c>
      <c r="D869" s="110">
        <v>26.39997</v>
      </c>
      <c r="E869" s="110">
        <v>7152</v>
      </c>
      <c r="F869" s="110">
        <v>304.94</v>
      </c>
      <c r="G869" s="110">
        <v>0.78499734392753751</v>
      </c>
      <c r="H869" s="110">
        <v>1.7024422252193705</v>
      </c>
      <c r="I869" s="110">
        <v>14881.83</v>
      </c>
      <c r="J869" s="110">
        <v>375.25779999999997</v>
      </c>
      <c r="K869" s="110">
        <v>0.85452230853266042</v>
      </c>
      <c r="L869" s="110">
        <v>1.6119349701328272</v>
      </c>
      <c r="M869" s="110"/>
      <c r="N869" s="110"/>
      <c r="O869" s="110"/>
      <c r="P869" s="110">
        <v>78.361909999999995</v>
      </c>
      <c r="Q869" s="110"/>
      <c r="R869" s="110"/>
      <c r="S869" s="110"/>
      <c r="T869" s="110"/>
    </row>
    <row r="870" spans="1:20">
      <c r="A870" s="110" t="s">
        <v>44</v>
      </c>
      <c r="B870" s="110" t="s">
        <v>67</v>
      </c>
      <c r="C870" s="110">
        <v>11430</v>
      </c>
      <c r="D870" s="110">
        <v>26.39997</v>
      </c>
      <c r="E870" s="110">
        <v>7152</v>
      </c>
      <c r="F870" s="110">
        <v>304.94</v>
      </c>
      <c r="G870" s="110">
        <v>0.78499734392753751</v>
      </c>
      <c r="H870" s="110">
        <v>1.7024422252193705</v>
      </c>
      <c r="I870" s="110">
        <v>14388.220000000001</v>
      </c>
      <c r="J870" s="110">
        <v>373.36680000000001</v>
      </c>
      <c r="K870" s="110">
        <v>0.85219829552967263</v>
      </c>
      <c r="L870" s="110">
        <v>1.6014816571155457</v>
      </c>
      <c r="M870" s="110"/>
      <c r="N870" s="110"/>
      <c r="O870" s="110"/>
      <c r="P870" s="110">
        <v>79.258030000000005</v>
      </c>
      <c r="Q870" s="110"/>
      <c r="R870" s="110"/>
      <c r="S870" s="110"/>
      <c r="T870" s="110"/>
    </row>
    <row r="871" spans="1:20">
      <c r="A871" s="110" t="s">
        <v>44</v>
      </c>
      <c r="B871" s="110" t="s">
        <v>67</v>
      </c>
      <c r="C871" s="110">
        <v>11430</v>
      </c>
      <c r="D871" s="110">
        <v>26.39997</v>
      </c>
      <c r="E871" s="110">
        <v>7152</v>
      </c>
      <c r="F871" s="110">
        <v>304.94</v>
      </c>
      <c r="G871" s="110">
        <v>0.78499734392753751</v>
      </c>
      <c r="H871" s="110">
        <v>1.7024422252193705</v>
      </c>
      <c r="I871" s="110">
        <v>13510.52</v>
      </c>
      <c r="J871" s="110">
        <v>369.9359</v>
      </c>
      <c r="K871" s="110">
        <v>0.85192210101278698</v>
      </c>
      <c r="L871" s="110">
        <v>1.6031453766749602</v>
      </c>
      <c r="M871" s="110"/>
      <c r="N871" s="110"/>
      <c r="O871" s="110"/>
      <c r="P871" s="110">
        <v>80.578980000000001</v>
      </c>
      <c r="Q871" s="110"/>
      <c r="R871" s="110"/>
      <c r="S871" s="110"/>
      <c r="T871" s="110"/>
    </row>
    <row r="872" spans="1:20">
      <c r="A872" s="110" t="s">
        <v>44</v>
      </c>
      <c r="B872" s="110" t="s">
        <v>67</v>
      </c>
      <c r="C872" s="110">
        <v>11430</v>
      </c>
      <c r="D872" s="110">
        <v>26.39997</v>
      </c>
      <c r="E872" s="110">
        <v>7152</v>
      </c>
      <c r="F872" s="110">
        <v>304.94</v>
      </c>
      <c r="G872" s="110">
        <v>0.78499734392753751</v>
      </c>
      <c r="H872" s="110">
        <v>1.7024422252193705</v>
      </c>
      <c r="I872" s="110">
        <v>13051.1</v>
      </c>
      <c r="J872" s="110">
        <v>368.10019999999997</v>
      </c>
      <c r="K872" s="110">
        <v>0.84865124299985661</v>
      </c>
      <c r="L872" s="110">
        <v>1.6035082427415954</v>
      </c>
      <c r="M872" s="110"/>
      <c r="N872" s="110"/>
      <c r="O872" s="110"/>
      <c r="P872" s="110">
        <v>81.162750000000003</v>
      </c>
      <c r="Q872" s="110"/>
      <c r="R872" s="110"/>
      <c r="S872" s="110"/>
      <c r="T872" s="110"/>
    </row>
    <row r="873" spans="1:20">
      <c r="A873" s="110" t="s">
        <v>44</v>
      </c>
      <c r="B873" s="110" t="s">
        <v>67</v>
      </c>
      <c r="C873" s="110">
        <v>11430</v>
      </c>
      <c r="D873" s="110">
        <v>26.39997</v>
      </c>
      <c r="E873" s="110">
        <v>7152</v>
      </c>
      <c r="F873" s="110">
        <v>304.94</v>
      </c>
      <c r="G873" s="110">
        <v>0.78499734392753751</v>
      </c>
      <c r="H873" s="110">
        <v>1.7024422252193705</v>
      </c>
      <c r="I873" s="110">
        <v>12258.32</v>
      </c>
      <c r="J873" s="110">
        <v>364.84519999999998</v>
      </c>
      <c r="K873" s="110">
        <v>0.85053553494470335</v>
      </c>
      <c r="L873" s="110">
        <v>1.5919783783495047</v>
      </c>
      <c r="M873" s="110"/>
      <c r="N873" s="110"/>
      <c r="O873" s="110"/>
      <c r="P873" s="110">
        <v>82.124369999999999</v>
      </c>
      <c r="Q873" s="110"/>
      <c r="R873" s="110"/>
      <c r="S873" s="110"/>
      <c r="T873" s="110"/>
    </row>
    <row r="874" spans="1:20">
      <c r="A874" s="110" t="s">
        <v>44</v>
      </c>
      <c r="B874" s="110" t="s">
        <v>67</v>
      </c>
      <c r="C874" s="110">
        <v>11430</v>
      </c>
      <c r="D874" s="110">
        <v>26.39997</v>
      </c>
      <c r="E874" s="110">
        <v>7152</v>
      </c>
      <c r="F874" s="110">
        <v>304.94</v>
      </c>
      <c r="G874" s="110">
        <v>0.78499734392753751</v>
      </c>
      <c r="H874" s="110">
        <v>1.7024422252193705</v>
      </c>
      <c r="I874" s="110">
        <v>11764.36</v>
      </c>
      <c r="J874" s="110">
        <v>362.73989999999998</v>
      </c>
      <c r="K874" s="110">
        <v>0.84868412096121149</v>
      </c>
      <c r="L874" s="110">
        <v>1.5947950196311518</v>
      </c>
      <c r="M874" s="110"/>
      <c r="N874" s="110"/>
      <c r="O874" s="110"/>
      <c r="P874" s="110">
        <v>82.712620000000001</v>
      </c>
      <c r="Q874" s="110"/>
      <c r="R874" s="110"/>
      <c r="S874" s="110"/>
      <c r="T874" s="110"/>
    </row>
    <row r="875" spans="1:20">
      <c r="A875" s="110" t="s">
        <v>44</v>
      </c>
      <c r="B875" s="110" t="s">
        <v>67</v>
      </c>
      <c r="C875" s="110">
        <v>10795</v>
      </c>
      <c r="D875" s="110">
        <v>26.39997</v>
      </c>
      <c r="E875" s="110">
        <v>7152</v>
      </c>
      <c r="F875" s="110">
        <v>304.94</v>
      </c>
      <c r="G875" s="110">
        <v>0.78499734392753751</v>
      </c>
      <c r="H875" s="110">
        <v>1.7024422252193705</v>
      </c>
      <c r="I875" s="110">
        <v>18847.439999999999</v>
      </c>
      <c r="J875" s="110">
        <v>393.59539999999998</v>
      </c>
      <c r="K875" s="110">
        <v>0.88237360787403507</v>
      </c>
      <c r="L875" s="110">
        <v>1.5886193220193632</v>
      </c>
      <c r="M875" s="110"/>
      <c r="N875" s="110"/>
      <c r="O875" s="110"/>
      <c r="P875" s="110">
        <v>40.303080000000001</v>
      </c>
      <c r="Q875" s="110"/>
      <c r="R875" s="110"/>
      <c r="S875" s="110"/>
      <c r="T875" s="110"/>
    </row>
    <row r="876" spans="1:20">
      <c r="A876" s="110" t="s">
        <v>44</v>
      </c>
      <c r="B876" s="110" t="s">
        <v>67</v>
      </c>
      <c r="C876" s="110">
        <v>10795</v>
      </c>
      <c r="D876" s="110">
        <v>26.39997</v>
      </c>
      <c r="E876" s="110">
        <v>7152</v>
      </c>
      <c r="F876" s="110">
        <v>304.94</v>
      </c>
      <c r="G876" s="110">
        <v>0.78499734392753751</v>
      </c>
      <c r="H876" s="110">
        <v>1.7024422252193705</v>
      </c>
      <c r="I876" s="110">
        <v>18788.140000000003</v>
      </c>
      <c r="J876" s="110">
        <v>393.0102</v>
      </c>
      <c r="K876" s="110">
        <v>0.88116254435508434</v>
      </c>
      <c r="L876" s="110">
        <v>1.5895936546566221</v>
      </c>
      <c r="M876" s="110"/>
      <c r="N876" s="110"/>
      <c r="O876" s="110"/>
      <c r="P876" s="110">
        <v>41.505629999999996</v>
      </c>
      <c r="Q876" s="110"/>
      <c r="R876" s="110"/>
      <c r="S876" s="110"/>
      <c r="T876" s="110"/>
    </row>
    <row r="877" spans="1:20">
      <c r="A877" s="110" t="s">
        <v>44</v>
      </c>
      <c r="B877" s="110" t="s">
        <v>67</v>
      </c>
      <c r="C877" s="110">
        <v>10795</v>
      </c>
      <c r="D877" s="110">
        <v>26.39997</v>
      </c>
      <c r="E877" s="110">
        <v>7152</v>
      </c>
      <c r="F877" s="110">
        <v>304.94</v>
      </c>
      <c r="G877" s="110">
        <v>0.78499734392753751</v>
      </c>
      <c r="H877" s="110">
        <v>1.7024422252193705</v>
      </c>
      <c r="I877" s="110">
        <v>18704.759999999998</v>
      </c>
      <c r="J877" s="110">
        <v>392.26639999999998</v>
      </c>
      <c r="K877" s="110">
        <v>0.87956308465937294</v>
      </c>
      <c r="L877" s="110">
        <v>1.5915643790158107</v>
      </c>
      <c r="M877" s="110"/>
      <c r="N877" s="110"/>
      <c r="O877" s="110"/>
      <c r="P877" s="110">
        <v>42.98424</v>
      </c>
      <c r="Q877" s="110"/>
      <c r="R877" s="110"/>
      <c r="S877" s="110"/>
      <c r="T877" s="110"/>
    </row>
    <row r="878" spans="1:20">
      <c r="A878" s="110" t="s">
        <v>44</v>
      </c>
      <c r="B878" s="110" t="s">
        <v>67</v>
      </c>
      <c r="C878" s="110">
        <v>10795</v>
      </c>
      <c r="D878" s="110">
        <v>26.39997</v>
      </c>
      <c r="E878" s="110">
        <v>7152</v>
      </c>
      <c r="F878" s="110">
        <v>304.94</v>
      </c>
      <c r="G878" s="110">
        <v>0.78499734392753751</v>
      </c>
      <c r="H878" s="110">
        <v>1.7024422252193705</v>
      </c>
      <c r="I878" s="110">
        <v>18507.2</v>
      </c>
      <c r="J878" s="110">
        <v>390.69580000000002</v>
      </c>
      <c r="K878" s="110">
        <v>0.87592506183290331</v>
      </c>
      <c r="L878" s="110">
        <v>1.5950841299761378</v>
      </c>
      <c r="M878" s="110"/>
      <c r="N878" s="110"/>
      <c r="O878" s="110"/>
      <c r="P878" s="110">
        <v>45.957639999999998</v>
      </c>
      <c r="Q878" s="110"/>
      <c r="R878" s="110"/>
      <c r="S878" s="110"/>
      <c r="T878" s="110"/>
    </row>
    <row r="879" spans="1:20">
      <c r="A879" s="110" t="s">
        <v>44</v>
      </c>
      <c r="B879" s="110" t="s">
        <v>67</v>
      </c>
      <c r="C879" s="110">
        <v>10795</v>
      </c>
      <c r="D879" s="110">
        <v>26.39997</v>
      </c>
      <c r="E879" s="110">
        <v>7152</v>
      </c>
      <c r="F879" s="110">
        <v>304.94</v>
      </c>
      <c r="G879" s="110">
        <v>0.78499734392753751</v>
      </c>
      <c r="H879" s="110">
        <v>1.7024422252193705</v>
      </c>
      <c r="I879" s="110">
        <v>18116.82</v>
      </c>
      <c r="J879" s="110">
        <v>388.07400000000001</v>
      </c>
      <c r="K879" s="110">
        <v>0.87150399657641509</v>
      </c>
      <c r="L879" s="110">
        <v>1.6065067946282887</v>
      </c>
      <c r="M879" s="110"/>
      <c r="N879" s="110"/>
      <c r="O879" s="110"/>
      <c r="P879" s="110">
        <v>50.40446</v>
      </c>
      <c r="Q879" s="110"/>
      <c r="R879" s="110"/>
      <c r="S879" s="110"/>
      <c r="T879" s="110"/>
    </row>
    <row r="880" spans="1:20">
      <c r="A880" s="110" t="s">
        <v>44</v>
      </c>
      <c r="B880" s="110" t="s">
        <v>67</v>
      </c>
      <c r="C880" s="110">
        <v>10795</v>
      </c>
      <c r="D880" s="110">
        <v>26.39997</v>
      </c>
      <c r="E880" s="110">
        <v>7152</v>
      </c>
      <c r="F880" s="110">
        <v>304.94</v>
      </c>
      <c r="G880" s="110">
        <v>0.78499734392753751</v>
      </c>
      <c r="H880" s="110">
        <v>1.7024422252193705</v>
      </c>
      <c r="I880" s="110">
        <v>17937.39</v>
      </c>
      <c r="J880" s="110">
        <v>386.98079999999999</v>
      </c>
      <c r="K880" s="110">
        <v>0.87041948415250603</v>
      </c>
      <c r="L880" s="110">
        <v>1.6088184456030099</v>
      </c>
      <c r="M880" s="110"/>
      <c r="N880" s="110"/>
      <c r="O880" s="110"/>
      <c r="P880" s="110">
        <v>52.290039999999998</v>
      </c>
      <c r="Q880" s="110"/>
      <c r="R880" s="110"/>
      <c r="S880" s="110"/>
      <c r="T880" s="110"/>
    </row>
    <row r="881" spans="1:20">
      <c r="A881" s="110" t="s">
        <v>44</v>
      </c>
      <c r="B881" s="110" t="s">
        <v>67</v>
      </c>
      <c r="C881" s="110">
        <v>10795</v>
      </c>
      <c r="D881" s="110">
        <v>26.39997</v>
      </c>
      <c r="E881" s="110">
        <v>7152</v>
      </c>
      <c r="F881" s="110">
        <v>304.94</v>
      </c>
      <c r="G881" s="110">
        <v>0.78499734392753751</v>
      </c>
      <c r="H881" s="110">
        <v>1.7024422252193705</v>
      </c>
      <c r="I881" s="110">
        <v>17929.62</v>
      </c>
      <c r="J881" s="110">
        <v>386.93529999999998</v>
      </c>
      <c r="K881" s="110">
        <v>0.87037150315351253</v>
      </c>
      <c r="L881" s="110">
        <v>1.6089079311256778</v>
      </c>
      <c r="M881" s="110"/>
      <c r="N881" s="110"/>
      <c r="O881" s="110"/>
      <c r="P881" s="110">
        <v>52.366340000000001</v>
      </c>
      <c r="Q881" s="110"/>
      <c r="R881" s="110"/>
      <c r="S881" s="110"/>
      <c r="T881" s="110"/>
    </row>
    <row r="882" spans="1:20">
      <c r="A882" s="110" t="s">
        <v>44</v>
      </c>
      <c r="B882" s="110" t="s">
        <v>67</v>
      </c>
      <c r="C882" s="110">
        <v>10795</v>
      </c>
      <c r="D882" s="110">
        <v>26.39997</v>
      </c>
      <c r="E882" s="110">
        <v>7152</v>
      </c>
      <c r="F882" s="110">
        <v>304.94</v>
      </c>
      <c r="G882" s="110">
        <v>0.78499734392753751</v>
      </c>
      <c r="H882" s="110">
        <v>1.7024422252193705</v>
      </c>
      <c r="I882" s="110">
        <v>17483.439999999999</v>
      </c>
      <c r="J882" s="110">
        <v>384.48599999999999</v>
      </c>
      <c r="K882" s="110">
        <v>0.86731197435822815</v>
      </c>
      <c r="L882" s="110">
        <v>1.6130416403932901</v>
      </c>
      <c r="M882" s="110"/>
      <c r="N882" s="110"/>
      <c r="O882" s="110"/>
      <c r="P882" s="110">
        <v>56.272739999999999</v>
      </c>
      <c r="Q882" s="110"/>
      <c r="R882" s="110"/>
      <c r="S882" s="110"/>
      <c r="T882" s="110"/>
    </row>
    <row r="883" spans="1:20">
      <c r="A883" s="110" t="s">
        <v>44</v>
      </c>
      <c r="B883" s="110" t="s">
        <v>67</v>
      </c>
      <c r="C883" s="110">
        <v>10795</v>
      </c>
      <c r="D883" s="110">
        <v>26.39997</v>
      </c>
      <c r="E883" s="110">
        <v>7152</v>
      </c>
      <c r="F883" s="110">
        <v>304.94</v>
      </c>
      <c r="G883" s="110">
        <v>0.78499734392753751</v>
      </c>
      <c r="H883" s="110">
        <v>1.7024422252193705</v>
      </c>
      <c r="I883" s="110">
        <v>17292.39</v>
      </c>
      <c r="J883" s="110">
        <v>383.50569999999999</v>
      </c>
      <c r="K883" s="110">
        <v>0.86576761461115281</v>
      </c>
      <c r="L883" s="110">
        <v>1.6143573000569502</v>
      </c>
      <c r="M883" s="110"/>
      <c r="N883" s="110"/>
      <c r="O883" s="110"/>
      <c r="P883" s="110">
        <v>57.708480000000002</v>
      </c>
      <c r="Q883" s="110"/>
      <c r="R883" s="110"/>
      <c r="S883" s="110"/>
      <c r="T883" s="110"/>
    </row>
    <row r="884" spans="1:20">
      <c r="A884" s="110" t="s">
        <v>44</v>
      </c>
      <c r="B884" s="110" t="s">
        <v>67</v>
      </c>
      <c r="C884" s="110">
        <v>10795</v>
      </c>
      <c r="D884" s="110">
        <v>26.39997</v>
      </c>
      <c r="E884" s="110">
        <v>7152</v>
      </c>
      <c r="F884" s="110">
        <v>304.94</v>
      </c>
      <c r="G884" s="110">
        <v>0.78499734392753751</v>
      </c>
      <c r="H884" s="110">
        <v>1.7024422252193705</v>
      </c>
      <c r="I884" s="110">
        <v>17209.63</v>
      </c>
      <c r="J884" s="110">
        <v>383.09629999999999</v>
      </c>
      <c r="K884" s="110">
        <v>0.86506029269800011</v>
      </c>
      <c r="L884" s="110">
        <v>1.6148251205951341</v>
      </c>
      <c r="M884" s="110"/>
      <c r="N884" s="110"/>
      <c r="O884" s="110"/>
      <c r="P884" s="110">
        <v>58.283520000000003</v>
      </c>
      <c r="Q884" s="110"/>
      <c r="R884" s="110"/>
      <c r="S884" s="110"/>
      <c r="T884" s="110"/>
    </row>
    <row r="885" spans="1:20">
      <c r="A885" s="110" t="s">
        <v>44</v>
      </c>
      <c r="B885" s="110" t="s">
        <v>67</v>
      </c>
      <c r="C885" s="110">
        <v>10795</v>
      </c>
      <c r="D885" s="110">
        <v>26.39997</v>
      </c>
      <c r="E885" s="110">
        <v>7152</v>
      </c>
      <c r="F885" s="110">
        <v>304.94</v>
      </c>
      <c r="G885" s="110">
        <v>0.78499734392753751</v>
      </c>
      <c r="H885" s="110">
        <v>1.7024422252193705</v>
      </c>
      <c r="I885" s="110">
        <v>16907.689999999999</v>
      </c>
      <c r="J885" s="110">
        <v>381.63630000000001</v>
      </c>
      <c r="K885" s="110">
        <v>0.86220289623684754</v>
      </c>
      <c r="L885" s="110">
        <v>1.6162539727852039</v>
      </c>
      <c r="M885" s="110"/>
      <c r="N885" s="110"/>
      <c r="O885" s="110"/>
      <c r="P885" s="110">
        <v>60.223370000000003</v>
      </c>
      <c r="Q885" s="110"/>
      <c r="R885" s="110"/>
      <c r="S885" s="110"/>
      <c r="T885" s="110"/>
    </row>
    <row r="886" spans="1:20">
      <c r="A886" s="110" t="s">
        <v>44</v>
      </c>
      <c r="B886" s="110" t="s">
        <v>67</v>
      </c>
      <c r="C886" s="110">
        <v>10795</v>
      </c>
      <c r="D886" s="110">
        <v>26.39997</v>
      </c>
      <c r="E886" s="110">
        <v>7152</v>
      </c>
      <c r="F886" s="110">
        <v>304.94</v>
      </c>
      <c r="G886" s="110">
        <v>0.78499734392753751</v>
      </c>
      <c r="H886" s="110">
        <v>1.7024422252193705</v>
      </c>
      <c r="I886" s="110">
        <v>16222.62</v>
      </c>
      <c r="J886" s="110">
        <v>378.45400000000001</v>
      </c>
      <c r="K886" s="110">
        <v>0.85541262501743953</v>
      </c>
      <c r="L886" s="110">
        <v>1.6176166119475877</v>
      </c>
      <c r="M886" s="110"/>
      <c r="N886" s="110"/>
      <c r="O886" s="110"/>
      <c r="P886" s="110">
        <v>64.062659999999994</v>
      </c>
      <c r="Q886" s="110"/>
      <c r="R886" s="110"/>
      <c r="S886" s="110"/>
      <c r="T886" s="110"/>
    </row>
    <row r="887" spans="1:20">
      <c r="A887" s="110" t="s">
        <v>44</v>
      </c>
      <c r="B887" s="110" t="s">
        <v>67</v>
      </c>
      <c r="C887" s="110">
        <v>10795</v>
      </c>
      <c r="D887" s="110">
        <v>26.39997</v>
      </c>
      <c r="E887" s="110">
        <v>7152</v>
      </c>
      <c r="F887" s="110">
        <v>304.94</v>
      </c>
      <c r="G887" s="110">
        <v>0.78499734392753751</v>
      </c>
      <c r="H887" s="110">
        <v>1.7024422252193705</v>
      </c>
      <c r="I887" s="110">
        <v>15782.980000000001</v>
      </c>
      <c r="J887" s="110">
        <v>376.49149999999997</v>
      </c>
      <c r="K887" s="110">
        <v>0.85476940431663539</v>
      </c>
      <c r="L887" s="110">
        <v>1.6205039226273981</v>
      </c>
      <c r="M887" s="110"/>
      <c r="N887" s="110"/>
      <c r="O887" s="110"/>
      <c r="P887" s="110">
        <v>66.160510000000002</v>
      </c>
      <c r="Q887" s="110"/>
      <c r="R887" s="110"/>
      <c r="S887" s="110"/>
      <c r="T887" s="110"/>
    </row>
    <row r="888" spans="1:20">
      <c r="A888" s="110" t="s">
        <v>44</v>
      </c>
      <c r="B888" s="110" t="s">
        <v>67</v>
      </c>
      <c r="C888" s="110">
        <v>10795</v>
      </c>
      <c r="D888" s="110">
        <v>26.39997</v>
      </c>
      <c r="E888" s="110">
        <v>7152</v>
      </c>
      <c r="F888" s="110">
        <v>304.94</v>
      </c>
      <c r="G888" s="110">
        <v>0.78499734392753751</v>
      </c>
      <c r="H888" s="110">
        <v>1.7024422252193705</v>
      </c>
      <c r="I888" s="110">
        <v>14902.5</v>
      </c>
      <c r="J888" s="110">
        <v>372.78710000000001</v>
      </c>
      <c r="K888" s="110">
        <v>0.84964285192814504</v>
      </c>
      <c r="L888" s="110">
        <v>1.6256837526430794</v>
      </c>
      <c r="M888" s="110"/>
      <c r="N888" s="110"/>
      <c r="O888" s="110"/>
      <c r="P888" s="110">
        <v>69.338579999999993</v>
      </c>
      <c r="Q888" s="110"/>
      <c r="R888" s="110"/>
      <c r="S888" s="110"/>
      <c r="T888" s="110"/>
    </row>
    <row r="889" spans="1:20">
      <c r="A889" s="110" t="s">
        <v>44</v>
      </c>
      <c r="B889" s="110" t="s">
        <v>67</v>
      </c>
      <c r="C889" s="110">
        <v>10795</v>
      </c>
      <c r="D889" s="110">
        <v>26.39997</v>
      </c>
      <c r="E889" s="110">
        <v>7152</v>
      </c>
      <c r="F889" s="110">
        <v>304.94</v>
      </c>
      <c r="G889" s="110">
        <v>0.78499734392753751</v>
      </c>
      <c r="H889" s="110">
        <v>1.7024422252193705</v>
      </c>
      <c r="I889" s="110">
        <v>14555.350000000002</v>
      </c>
      <c r="J889" s="110">
        <v>371.33659999999998</v>
      </c>
      <c r="K889" s="110">
        <v>0.8461291624867151</v>
      </c>
      <c r="L889" s="110">
        <v>1.6166516217689892</v>
      </c>
      <c r="M889" s="110"/>
      <c r="N889" s="110"/>
      <c r="O889" s="110"/>
      <c r="P889" s="110">
        <v>70.401570000000007</v>
      </c>
      <c r="Q889" s="110"/>
      <c r="R889" s="110"/>
      <c r="S889" s="110"/>
      <c r="T889" s="110"/>
    </row>
    <row r="890" spans="1:20">
      <c r="A890" s="110" t="s">
        <v>44</v>
      </c>
      <c r="B890" s="110" t="s">
        <v>67</v>
      </c>
      <c r="C890" s="110">
        <v>10795</v>
      </c>
      <c r="D890" s="110">
        <v>26.39997</v>
      </c>
      <c r="E890" s="110">
        <v>7152</v>
      </c>
      <c r="F890" s="110">
        <v>304.94</v>
      </c>
      <c r="G890" s="110">
        <v>0.78499734392753751</v>
      </c>
      <c r="H890" s="110">
        <v>1.7024422252193705</v>
      </c>
      <c r="I890" s="110">
        <v>13734.32</v>
      </c>
      <c r="J890" s="110">
        <v>367.9384</v>
      </c>
      <c r="K890" s="110">
        <v>0.84686666161995483</v>
      </c>
      <c r="L890" s="110">
        <v>1.6197814398995871</v>
      </c>
      <c r="M890" s="110"/>
      <c r="N890" s="110"/>
      <c r="O890" s="110"/>
      <c r="P890" s="110">
        <v>72.416309999999996</v>
      </c>
      <c r="Q890" s="110"/>
      <c r="R890" s="110"/>
      <c r="S890" s="110"/>
      <c r="T890" s="110"/>
    </row>
    <row r="891" spans="1:20">
      <c r="A891" s="110" t="s">
        <v>44</v>
      </c>
      <c r="B891" s="110" t="s">
        <v>67</v>
      </c>
      <c r="C891" s="110">
        <v>10795</v>
      </c>
      <c r="D891" s="110">
        <v>26.39997</v>
      </c>
      <c r="E891" s="110">
        <v>7152</v>
      </c>
      <c r="F891" s="110">
        <v>304.94</v>
      </c>
      <c r="G891" s="110">
        <v>0.78499734392753751</v>
      </c>
      <c r="H891" s="110">
        <v>1.7024422252193705</v>
      </c>
      <c r="I891" s="110">
        <v>13389.71</v>
      </c>
      <c r="J891" s="110">
        <v>366.50490000000002</v>
      </c>
      <c r="K891" s="110">
        <v>0.84515016376238072</v>
      </c>
      <c r="L891" s="110">
        <v>1.6207136669500055</v>
      </c>
      <c r="M891" s="110"/>
      <c r="N891" s="110"/>
      <c r="O891" s="110"/>
      <c r="P891" s="110">
        <v>73.152100000000004</v>
      </c>
      <c r="Q891" s="110"/>
      <c r="R891" s="110"/>
      <c r="S891" s="110"/>
      <c r="T891" s="110"/>
    </row>
    <row r="892" spans="1:20">
      <c r="A892" s="110" t="s">
        <v>44</v>
      </c>
      <c r="B892" s="110" t="s">
        <v>67</v>
      </c>
      <c r="C892" s="110">
        <v>10795</v>
      </c>
      <c r="D892" s="110">
        <v>26.39997</v>
      </c>
      <c r="E892" s="110">
        <v>7152</v>
      </c>
      <c r="F892" s="110">
        <v>304.94</v>
      </c>
      <c r="G892" s="110">
        <v>0.78499734392753751</v>
      </c>
      <c r="H892" s="110">
        <v>1.7024422252193705</v>
      </c>
      <c r="I892" s="110">
        <v>12632.2</v>
      </c>
      <c r="J892" s="110">
        <v>363.3005</v>
      </c>
      <c r="K892" s="110">
        <v>0.84356630711117309</v>
      </c>
      <c r="L892" s="110">
        <v>1.6035333999648265</v>
      </c>
      <c r="M892" s="110"/>
      <c r="N892" s="110"/>
      <c r="O892" s="110"/>
      <c r="P892" s="110">
        <v>74.576070000000001</v>
      </c>
      <c r="Q892" s="110"/>
      <c r="R892" s="110"/>
      <c r="S892" s="110"/>
      <c r="T892" s="110"/>
    </row>
    <row r="893" spans="1:20">
      <c r="A893" s="110" t="s">
        <v>44</v>
      </c>
      <c r="B893" s="110" t="s">
        <v>67</v>
      </c>
      <c r="C893" s="110">
        <v>10795</v>
      </c>
      <c r="D893" s="110">
        <v>26.39997</v>
      </c>
      <c r="E893" s="110">
        <v>7152</v>
      </c>
      <c r="F893" s="110">
        <v>304.94</v>
      </c>
      <c r="G893" s="110">
        <v>0.78499734392753751</v>
      </c>
      <c r="H893" s="110">
        <v>1.7024422252193705</v>
      </c>
      <c r="I893" s="110">
        <v>12233.42</v>
      </c>
      <c r="J893" s="110">
        <v>361.5926</v>
      </c>
      <c r="K893" s="110">
        <v>0.84412064747715954</v>
      </c>
      <c r="L893" s="110">
        <v>1.6051943129151924</v>
      </c>
      <c r="M893" s="110"/>
      <c r="N893" s="110"/>
      <c r="O893" s="110"/>
      <c r="P893" s="110">
        <v>75.230770000000007</v>
      </c>
      <c r="Q893" s="110"/>
      <c r="R893" s="110"/>
      <c r="S893" s="110"/>
      <c r="T893" s="110"/>
    </row>
    <row r="894" spans="1:20">
      <c r="A894" s="110" t="s">
        <v>44</v>
      </c>
      <c r="B894" s="110" t="s">
        <v>67</v>
      </c>
      <c r="C894" s="110">
        <v>10795</v>
      </c>
      <c r="D894" s="110">
        <v>26.39997</v>
      </c>
      <c r="E894" s="110">
        <v>7152</v>
      </c>
      <c r="F894" s="110">
        <v>304.94</v>
      </c>
      <c r="G894" s="110">
        <v>0.78499734392753751</v>
      </c>
      <c r="H894" s="110">
        <v>1.7024422252193705</v>
      </c>
      <c r="I894" s="110">
        <v>11478.87</v>
      </c>
      <c r="J894" s="110">
        <v>358.26159999999999</v>
      </c>
      <c r="K894" s="110">
        <v>0.8415539457454928</v>
      </c>
      <c r="L894" s="110">
        <v>1.5887764140697669</v>
      </c>
      <c r="M894" s="110"/>
      <c r="N894" s="110"/>
      <c r="O894" s="110"/>
      <c r="P894" s="110">
        <v>76.330619999999996</v>
      </c>
      <c r="Q894" s="110"/>
      <c r="R894" s="110"/>
      <c r="S894" s="110"/>
      <c r="T894" s="110"/>
    </row>
    <row r="895" spans="1:20">
      <c r="A895" s="110" t="s">
        <v>44</v>
      </c>
      <c r="B895" s="110" t="s">
        <v>67</v>
      </c>
      <c r="C895" s="110">
        <v>10160</v>
      </c>
      <c r="D895" s="110">
        <v>26.39997</v>
      </c>
      <c r="E895" s="110">
        <v>7152</v>
      </c>
      <c r="F895" s="110">
        <v>304.94</v>
      </c>
      <c r="G895" s="110">
        <v>0.78499734392753751</v>
      </c>
      <c r="H895" s="110">
        <v>1.7024422252193705</v>
      </c>
      <c r="I895" s="110">
        <v>17104.64</v>
      </c>
      <c r="J895" s="110">
        <v>385.01389999999998</v>
      </c>
      <c r="K895" s="110">
        <v>0.86860129925472873</v>
      </c>
      <c r="L895" s="110">
        <v>1.6052707224789682</v>
      </c>
      <c r="M895" s="110"/>
      <c r="N895" s="110"/>
      <c r="O895" s="110"/>
      <c r="P895" s="110">
        <v>36.57076</v>
      </c>
      <c r="Q895" s="110"/>
      <c r="R895" s="110"/>
      <c r="S895" s="110"/>
      <c r="T895" s="110"/>
    </row>
    <row r="896" spans="1:20">
      <c r="A896" s="110" t="s">
        <v>44</v>
      </c>
      <c r="B896" s="110" t="s">
        <v>67</v>
      </c>
      <c r="C896" s="110">
        <v>10160</v>
      </c>
      <c r="D896" s="110">
        <v>26.39997</v>
      </c>
      <c r="E896" s="110">
        <v>7152</v>
      </c>
      <c r="F896" s="110">
        <v>304.94</v>
      </c>
      <c r="G896" s="110">
        <v>0.78499734392753751</v>
      </c>
      <c r="H896" s="110">
        <v>1.7024422252193705</v>
      </c>
      <c r="I896" s="110">
        <v>17091.599999999999</v>
      </c>
      <c r="J896" s="110">
        <v>384.86700000000002</v>
      </c>
      <c r="K896" s="110">
        <v>0.86832770617352784</v>
      </c>
      <c r="L896" s="110">
        <v>1.6055102613371621</v>
      </c>
      <c r="M896" s="110"/>
      <c r="N896" s="110"/>
      <c r="O896" s="110"/>
      <c r="P896" s="110">
        <v>36.868740000000003</v>
      </c>
      <c r="Q896" s="110"/>
      <c r="R896" s="110"/>
      <c r="S896" s="110"/>
      <c r="T896" s="110"/>
    </row>
    <row r="897" spans="1:20">
      <c r="A897" s="110" t="s">
        <v>44</v>
      </c>
      <c r="B897" s="110" t="s">
        <v>67</v>
      </c>
      <c r="C897" s="110">
        <v>10160</v>
      </c>
      <c r="D897" s="110">
        <v>26.39997</v>
      </c>
      <c r="E897" s="110">
        <v>7152</v>
      </c>
      <c r="F897" s="110">
        <v>304.94</v>
      </c>
      <c r="G897" s="110">
        <v>0.78499734392753751</v>
      </c>
      <c r="H897" s="110">
        <v>1.7024422252193705</v>
      </c>
      <c r="I897" s="110">
        <v>17055.13</v>
      </c>
      <c r="J897" s="110">
        <v>384.47410000000002</v>
      </c>
      <c r="K897" s="110">
        <v>0.86758964743889133</v>
      </c>
      <c r="L897" s="110">
        <v>1.6061434662254166</v>
      </c>
      <c r="M897" s="110"/>
      <c r="N897" s="110"/>
      <c r="O897" s="110"/>
      <c r="P897" s="110">
        <v>37.656399999999998</v>
      </c>
      <c r="Q897" s="110"/>
      <c r="R897" s="110"/>
      <c r="S897" s="110"/>
      <c r="T897" s="110"/>
    </row>
    <row r="898" spans="1:20">
      <c r="A898" s="110" t="s">
        <v>44</v>
      </c>
      <c r="B898" s="110" t="s">
        <v>67</v>
      </c>
      <c r="C898" s="110">
        <v>10160</v>
      </c>
      <c r="D898" s="110">
        <v>26.39997</v>
      </c>
      <c r="E898" s="110">
        <v>7152</v>
      </c>
      <c r="F898" s="110">
        <v>304.94</v>
      </c>
      <c r="G898" s="110">
        <v>0.78499734392753751</v>
      </c>
      <c r="H898" s="110">
        <v>1.7024422252193705</v>
      </c>
      <c r="I898" s="110">
        <v>16908.71</v>
      </c>
      <c r="J898" s="110">
        <v>383.08269999999999</v>
      </c>
      <c r="K898" s="110">
        <v>0.86488454633017997</v>
      </c>
      <c r="L898" s="110">
        <v>1.6082982682474867</v>
      </c>
      <c r="M898" s="110"/>
      <c r="N898" s="110"/>
      <c r="O898" s="110"/>
      <c r="P898" s="110">
        <v>40.333849999999998</v>
      </c>
      <c r="Q898" s="110"/>
      <c r="R898" s="110"/>
      <c r="S898" s="110"/>
      <c r="T898" s="110"/>
    </row>
    <row r="899" spans="1:20">
      <c r="A899" s="110" t="s">
        <v>44</v>
      </c>
      <c r="B899" s="110" t="s">
        <v>67</v>
      </c>
      <c r="C899" s="110">
        <v>10160</v>
      </c>
      <c r="D899" s="110">
        <v>26.39997</v>
      </c>
      <c r="E899" s="110">
        <v>7152</v>
      </c>
      <c r="F899" s="110">
        <v>304.94</v>
      </c>
      <c r="G899" s="110">
        <v>0.78499734392753751</v>
      </c>
      <c r="H899" s="110">
        <v>1.7024422252193705</v>
      </c>
      <c r="I899" s="110">
        <v>16619.120000000003</v>
      </c>
      <c r="J899" s="110">
        <v>380.77640000000002</v>
      </c>
      <c r="K899" s="110">
        <v>0.85997409316554496</v>
      </c>
      <c r="L899" s="110">
        <v>1.614363169172147</v>
      </c>
      <c r="M899" s="110"/>
      <c r="N899" s="110"/>
      <c r="O899" s="110"/>
      <c r="P899" s="110">
        <v>44.39472</v>
      </c>
      <c r="Q899" s="110"/>
      <c r="R899" s="110"/>
      <c r="S899" s="110"/>
      <c r="T899" s="110"/>
    </row>
    <row r="900" spans="1:20">
      <c r="A900" s="110" t="s">
        <v>44</v>
      </c>
      <c r="B900" s="110" t="s">
        <v>67</v>
      </c>
      <c r="C900" s="110">
        <v>10160</v>
      </c>
      <c r="D900" s="110">
        <v>26.39997</v>
      </c>
      <c r="E900" s="110">
        <v>7152</v>
      </c>
      <c r="F900" s="110">
        <v>304.94</v>
      </c>
      <c r="G900" s="110">
        <v>0.78499734392753751</v>
      </c>
      <c r="H900" s="110">
        <v>1.7024422252193705</v>
      </c>
      <c r="I900" s="110">
        <v>16149.32</v>
      </c>
      <c r="J900" s="110">
        <v>377.6653</v>
      </c>
      <c r="K900" s="110">
        <v>0.85448132418541567</v>
      </c>
      <c r="L900" s="110">
        <v>1.6190988004708151</v>
      </c>
      <c r="M900" s="110"/>
      <c r="N900" s="110"/>
      <c r="O900" s="110"/>
      <c r="P900" s="110">
        <v>49.489910000000002</v>
      </c>
      <c r="Q900" s="110"/>
      <c r="R900" s="110"/>
      <c r="S900" s="110"/>
      <c r="T900" s="110"/>
    </row>
    <row r="901" spans="1:20">
      <c r="A901" s="110" t="s">
        <v>44</v>
      </c>
      <c r="B901" s="110" t="s">
        <v>67</v>
      </c>
      <c r="C901" s="110">
        <v>10160</v>
      </c>
      <c r="D901" s="110">
        <v>26.39997</v>
      </c>
      <c r="E901" s="110">
        <v>7152</v>
      </c>
      <c r="F901" s="110">
        <v>304.94</v>
      </c>
      <c r="G901" s="110">
        <v>0.78499734392753751</v>
      </c>
      <c r="H901" s="110">
        <v>1.7024422252193705</v>
      </c>
      <c r="I901" s="110">
        <v>15657.220000000001</v>
      </c>
      <c r="J901" s="110">
        <v>374.87169999999998</v>
      </c>
      <c r="K901" s="110">
        <v>0.85219791542483669</v>
      </c>
      <c r="L901" s="110">
        <v>1.6248963541563075</v>
      </c>
      <c r="M901" s="110"/>
      <c r="N901" s="110"/>
      <c r="O901" s="110"/>
      <c r="P901" s="110">
        <v>53.573259999999998</v>
      </c>
      <c r="Q901" s="110"/>
      <c r="R901" s="110"/>
      <c r="S901" s="110"/>
      <c r="T901" s="110"/>
    </row>
    <row r="902" spans="1:20">
      <c r="A902" s="110" t="s">
        <v>44</v>
      </c>
      <c r="B902" s="110" t="s">
        <v>67</v>
      </c>
      <c r="C902" s="110">
        <v>10160</v>
      </c>
      <c r="D902" s="110">
        <v>26.39997</v>
      </c>
      <c r="E902" s="110">
        <v>7152</v>
      </c>
      <c r="F902" s="110">
        <v>304.94</v>
      </c>
      <c r="G902" s="110">
        <v>0.78499734392753751</v>
      </c>
      <c r="H902" s="110">
        <v>1.7024422252193705</v>
      </c>
      <c r="I902" s="110">
        <v>15125.62</v>
      </c>
      <c r="J902" s="110">
        <v>372.12880000000001</v>
      </c>
      <c r="K902" s="110">
        <v>0.84827583635922055</v>
      </c>
      <c r="L902" s="110">
        <v>1.629145735402634</v>
      </c>
      <c r="M902" s="110"/>
      <c r="N902" s="110"/>
      <c r="O902" s="110"/>
      <c r="P902" s="110">
        <v>57.080599999999997</v>
      </c>
      <c r="Q902" s="110"/>
      <c r="R902" s="110"/>
      <c r="S902" s="110"/>
      <c r="T902" s="110"/>
    </row>
    <row r="903" spans="1:20">
      <c r="A903" s="110" t="s">
        <v>44</v>
      </c>
      <c r="B903" s="110" t="s">
        <v>67</v>
      </c>
      <c r="C903" s="110">
        <v>10160</v>
      </c>
      <c r="D903" s="110">
        <v>26.39997</v>
      </c>
      <c r="E903" s="110">
        <v>7152</v>
      </c>
      <c r="F903" s="110">
        <v>304.94</v>
      </c>
      <c r="G903" s="110">
        <v>0.78499734392753751</v>
      </c>
      <c r="H903" s="110">
        <v>1.7024422252193705</v>
      </c>
      <c r="I903" s="110">
        <v>15003</v>
      </c>
      <c r="J903" s="110">
        <v>371.51499999999999</v>
      </c>
      <c r="K903" s="110">
        <v>0.84711597327447252</v>
      </c>
      <c r="L903" s="110">
        <v>1.6299496926943289</v>
      </c>
      <c r="M903" s="110"/>
      <c r="N903" s="110"/>
      <c r="O903" s="110"/>
      <c r="P903" s="110">
        <v>57.806600000000003</v>
      </c>
      <c r="Q903" s="110"/>
      <c r="R903" s="110"/>
      <c r="S903" s="110"/>
      <c r="T903" s="110"/>
    </row>
    <row r="904" spans="1:20">
      <c r="A904" s="110" t="s">
        <v>44</v>
      </c>
      <c r="B904" s="110" t="s">
        <v>67</v>
      </c>
      <c r="C904" s="110">
        <v>10160</v>
      </c>
      <c r="D904" s="110">
        <v>26.39997</v>
      </c>
      <c r="E904" s="110">
        <v>7152</v>
      </c>
      <c r="F904" s="110">
        <v>304.94</v>
      </c>
      <c r="G904" s="110">
        <v>0.78499734392753751</v>
      </c>
      <c r="H904" s="110">
        <v>1.7024422252193705</v>
      </c>
      <c r="I904" s="110">
        <v>14645.04</v>
      </c>
      <c r="J904" s="110">
        <v>369.74779999999998</v>
      </c>
      <c r="K904" s="110">
        <v>0.8431557851549325</v>
      </c>
      <c r="L904" s="110">
        <v>1.6320075619273449</v>
      </c>
      <c r="M904" s="110"/>
      <c r="N904" s="110"/>
      <c r="O904" s="110"/>
      <c r="P904" s="110">
        <v>59.76041</v>
      </c>
      <c r="Q904" s="110"/>
      <c r="R904" s="110"/>
      <c r="S904" s="110"/>
      <c r="T904" s="110"/>
    </row>
    <row r="905" spans="1:20">
      <c r="A905" s="110" t="s">
        <v>44</v>
      </c>
      <c r="B905" s="110" t="s">
        <v>67</v>
      </c>
      <c r="C905" s="110">
        <v>10160</v>
      </c>
      <c r="D905" s="110">
        <v>26.39997</v>
      </c>
      <c r="E905" s="110">
        <v>7152</v>
      </c>
      <c r="F905" s="110">
        <v>304.94</v>
      </c>
      <c r="G905" s="110">
        <v>0.78499734392753751</v>
      </c>
      <c r="H905" s="110">
        <v>1.7024422252193705</v>
      </c>
      <c r="I905" s="110">
        <v>14370.099999999999</v>
      </c>
      <c r="J905" s="110">
        <v>368.44040000000001</v>
      </c>
      <c r="K905" s="110">
        <v>0.84250969040799883</v>
      </c>
      <c r="L905" s="110">
        <v>1.6299256708729806</v>
      </c>
      <c r="M905" s="110"/>
      <c r="N905" s="110"/>
      <c r="O905" s="110"/>
      <c r="P905" s="110">
        <v>61.056480000000001</v>
      </c>
      <c r="Q905" s="110"/>
      <c r="R905" s="110"/>
      <c r="S905" s="110"/>
      <c r="T905" s="110"/>
    </row>
    <row r="906" spans="1:20">
      <c r="A906" s="110" t="s">
        <v>44</v>
      </c>
      <c r="B906" s="110" t="s">
        <v>67</v>
      </c>
      <c r="C906" s="110">
        <v>10160</v>
      </c>
      <c r="D906" s="110">
        <v>26.39997</v>
      </c>
      <c r="E906" s="110">
        <v>7152</v>
      </c>
      <c r="F906" s="110">
        <v>304.94</v>
      </c>
      <c r="G906" s="110">
        <v>0.78499734392753751</v>
      </c>
      <c r="H906" s="110">
        <v>1.7024422252193705</v>
      </c>
      <c r="I906" s="110">
        <v>13760.689999999999</v>
      </c>
      <c r="J906" s="110">
        <v>365.6533</v>
      </c>
      <c r="K906" s="110">
        <v>0.84182551389000415</v>
      </c>
      <c r="L906" s="110">
        <v>1.6337766925675856</v>
      </c>
      <c r="M906" s="110"/>
      <c r="N906" s="110"/>
      <c r="O906" s="110"/>
      <c r="P906" s="110">
        <v>63.434829999999998</v>
      </c>
      <c r="Q906" s="110"/>
      <c r="R906" s="110"/>
      <c r="S906" s="110"/>
      <c r="T906" s="110"/>
    </row>
    <row r="907" spans="1:20">
      <c r="A907" s="110" t="s">
        <v>44</v>
      </c>
      <c r="B907" s="110" t="s">
        <v>67</v>
      </c>
      <c r="C907" s="110">
        <v>10160</v>
      </c>
      <c r="D907" s="110">
        <v>26.39997</v>
      </c>
      <c r="E907" s="110">
        <v>7152</v>
      </c>
      <c r="F907" s="110">
        <v>304.94</v>
      </c>
      <c r="G907" s="110">
        <v>0.78499734392753751</v>
      </c>
      <c r="H907" s="110">
        <v>1.7024422252193705</v>
      </c>
      <c r="I907" s="110">
        <v>13449.289999999999</v>
      </c>
      <c r="J907" s="110">
        <v>364.25959999999998</v>
      </c>
      <c r="K907" s="110">
        <v>0.84021402684387902</v>
      </c>
      <c r="L907" s="110">
        <v>1.635498643759776</v>
      </c>
      <c r="M907" s="110"/>
      <c r="N907" s="110"/>
      <c r="O907" s="110"/>
      <c r="P907" s="110">
        <v>64.464119999999994</v>
      </c>
      <c r="Q907" s="110"/>
      <c r="R907" s="110"/>
      <c r="S907" s="110"/>
      <c r="T907" s="110"/>
    </row>
    <row r="908" spans="1:20">
      <c r="A908" s="110" t="s">
        <v>44</v>
      </c>
      <c r="B908" s="110" t="s">
        <v>67</v>
      </c>
      <c r="C908" s="110">
        <v>10160</v>
      </c>
      <c r="D908" s="110">
        <v>26.39997</v>
      </c>
      <c r="E908" s="110">
        <v>7152</v>
      </c>
      <c r="F908" s="110">
        <v>304.94</v>
      </c>
      <c r="G908" s="110">
        <v>0.78499734392753751</v>
      </c>
      <c r="H908" s="110">
        <v>1.7024422252193705</v>
      </c>
      <c r="I908" s="110">
        <v>12821.92</v>
      </c>
      <c r="J908" s="110">
        <v>361.45699999999999</v>
      </c>
      <c r="K908" s="110">
        <v>0.83705877812499307</v>
      </c>
      <c r="L908" s="110">
        <v>1.6197816426479856</v>
      </c>
      <c r="M908" s="110"/>
      <c r="N908" s="110"/>
      <c r="O908" s="110"/>
      <c r="P908" s="110">
        <v>66.270579999999995</v>
      </c>
      <c r="Q908" s="110"/>
      <c r="R908" s="110"/>
      <c r="S908" s="110"/>
      <c r="T908" s="110"/>
    </row>
    <row r="909" spans="1:20">
      <c r="A909" s="110" t="s">
        <v>44</v>
      </c>
      <c r="B909" s="110" t="s">
        <v>67</v>
      </c>
      <c r="C909" s="110">
        <v>10160</v>
      </c>
      <c r="D909" s="110">
        <v>26.39997</v>
      </c>
      <c r="E909" s="110">
        <v>7152</v>
      </c>
      <c r="F909" s="110">
        <v>304.94</v>
      </c>
      <c r="G909" s="110">
        <v>0.78499734392753751</v>
      </c>
      <c r="H909" s="110">
        <v>1.7024422252193705</v>
      </c>
      <c r="I909" s="110">
        <v>12493.65</v>
      </c>
      <c r="J909" s="110">
        <v>359.96879999999999</v>
      </c>
      <c r="K909" s="110">
        <v>0.83827012447204885</v>
      </c>
      <c r="L909" s="110">
        <v>1.6221211657922225</v>
      </c>
      <c r="M909" s="110"/>
      <c r="N909" s="110"/>
      <c r="O909" s="110"/>
      <c r="P909" s="110">
        <v>67.131219999999999</v>
      </c>
      <c r="Q909" s="110"/>
      <c r="R909" s="110"/>
      <c r="S909" s="110"/>
      <c r="T909" s="110"/>
    </row>
    <row r="910" spans="1:20">
      <c r="A910" s="110" t="s">
        <v>44</v>
      </c>
      <c r="B910" s="110" t="s">
        <v>67</v>
      </c>
      <c r="C910" s="110">
        <v>10160</v>
      </c>
      <c r="D910" s="110">
        <v>26.39997</v>
      </c>
      <c r="E910" s="110">
        <v>7152</v>
      </c>
      <c r="F910" s="110">
        <v>304.94</v>
      </c>
      <c r="G910" s="110">
        <v>0.78499734392753751</v>
      </c>
      <c r="H910" s="110">
        <v>1.7024422252193705</v>
      </c>
      <c r="I910" s="110">
        <v>11785.66</v>
      </c>
      <c r="J910" s="110">
        <v>356.7423</v>
      </c>
      <c r="K910" s="110">
        <v>0.83623997093307656</v>
      </c>
      <c r="L910" s="110">
        <v>1.626647967836192</v>
      </c>
      <c r="M910" s="110"/>
      <c r="N910" s="110"/>
      <c r="O910" s="110"/>
      <c r="P910" s="110">
        <v>68.703440000000001</v>
      </c>
      <c r="Q910" s="110"/>
      <c r="R910" s="110"/>
      <c r="S910" s="110"/>
      <c r="T910" s="110"/>
    </row>
    <row r="911" spans="1:20">
      <c r="A911" s="110" t="s">
        <v>44</v>
      </c>
      <c r="B911" s="110" t="s">
        <v>67</v>
      </c>
      <c r="C911" s="110">
        <v>10160</v>
      </c>
      <c r="D911" s="110">
        <v>26.39997</v>
      </c>
      <c r="E911" s="110">
        <v>7152</v>
      </c>
      <c r="F911" s="110">
        <v>304.94</v>
      </c>
      <c r="G911" s="110">
        <v>0.78499734392753751</v>
      </c>
      <c r="H911" s="110">
        <v>1.7024422252193705</v>
      </c>
      <c r="I911" s="110">
        <v>11465.93</v>
      </c>
      <c r="J911" s="110">
        <v>355.25869999999998</v>
      </c>
      <c r="K911" s="110">
        <v>0.83519634331300496</v>
      </c>
      <c r="L911" s="110">
        <v>1.5996370406160274</v>
      </c>
      <c r="M911" s="110"/>
      <c r="N911" s="110"/>
      <c r="O911" s="110"/>
      <c r="P911" s="110">
        <v>69.31944</v>
      </c>
      <c r="Q911" s="110"/>
      <c r="R911" s="110"/>
      <c r="S911" s="110"/>
      <c r="T911" s="110"/>
    </row>
    <row r="912" spans="1:20">
      <c r="A912" s="110" t="s">
        <v>44</v>
      </c>
      <c r="B912" s="110" t="s">
        <v>67</v>
      </c>
      <c r="C912" s="110">
        <v>10160</v>
      </c>
      <c r="D912" s="110">
        <v>26.39997</v>
      </c>
      <c r="E912" s="110">
        <v>7152</v>
      </c>
      <c r="F912" s="110">
        <v>304.94</v>
      </c>
      <c r="G912" s="110">
        <v>0.78499734392753751</v>
      </c>
      <c r="H912" s="110">
        <v>1.7024422252193705</v>
      </c>
      <c r="I912" s="110">
        <v>10851.06</v>
      </c>
      <c r="J912" s="110">
        <v>352.37479999999999</v>
      </c>
      <c r="K912" s="110">
        <v>0.83789098896170555</v>
      </c>
      <c r="L912" s="110">
        <v>1.6079102230416369</v>
      </c>
      <c r="M912" s="110"/>
      <c r="N912" s="110"/>
      <c r="O912" s="110"/>
      <c r="P912" s="110">
        <v>70.41328</v>
      </c>
      <c r="Q912" s="110"/>
      <c r="R912" s="110"/>
      <c r="S912" s="110"/>
      <c r="T912" s="110"/>
    </row>
    <row r="913" spans="1:20">
      <c r="A913" s="110" t="s">
        <v>44</v>
      </c>
      <c r="B913" s="110" t="s">
        <v>67</v>
      </c>
      <c r="C913" s="110">
        <v>10160</v>
      </c>
      <c r="D913" s="110">
        <v>26.39997</v>
      </c>
      <c r="E913" s="110">
        <v>7152</v>
      </c>
      <c r="F913" s="110">
        <v>304.94</v>
      </c>
      <c r="G913" s="110">
        <v>0.78499734392753751</v>
      </c>
      <c r="H913" s="110">
        <v>1.7024422252193705</v>
      </c>
      <c r="I913" s="110">
        <v>10762.359999999999</v>
      </c>
      <c r="J913" s="110">
        <v>351.9538</v>
      </c>
      <c r="K913" s="110">
        <v>0.83780662960543528</v>
      </c>
      <c r="L913" s="110">
        <v>1.6098433104797749</v>
      </c>
      <c r="M913" s="110"/>
      <c r="N913" s="110"/>
      <c r="O913" s="110"/>
      <c r="P913" s="110">
        <v>70.557370000000006</v>
      </c>
      <c r="Q913" s="110"/>
      <c r="R913" s="110"/>
      <c r="S913" s="110"/>
      <c r="T913" s="110"/>
    </row>
    <row r="914" spans="1:20">
      <c r="A914" s="110" t="s">
        <v>44</v>
      </c>
      <c r="B914" s="110" t="s">
        <v>67</v>
      </c>
      <c r="C914" s="110">
        <v>9525</v>
      </c>
      <c r="D914" s="110">
        <v>26.39997</v>
      </c>
      <c r="E914" s="110">
        <v>7152</v>
      </c>
      <c r="F914" s="110">
        <v>304.94</v>
      </c>
      <c r="G914" s="110">
        <v>0.78499734392753751</v>
      </c>
      <c r="H914" s="110">
        <v>1.7024422252193705</v>
      </c>
      <c r="I914" s="110">
        <v>15522.41</v>
      </c>
      <c r="J914" s="110">
        <v>376.33460000000002</v>
      </c>
      <c r="K914" s="110">
        <v>0.85572005108141236</v>
      </c>
      <c r="L914" s="110">
        <v>1.6190430534220221</v>
      </c>
      <c r="M914" s="110"/>
      <c r="N914" s="110"/>
      <c r="O914" s="110"/>
      <c r="P914" s="110">
        <v>33.887129999999999</v>
      </c>
      <c r="Q914" s="110"/>
      <c r="R914" s="110"/>
      <c r="S914" s="110"/>
      <c r="T914" s="110"/>
    </row>
    <row r="915" spans="1:20">
      <c r="A915" s="110" t="s">
        <v>44</v>
      </c>
      <c r="B915" s="110" t="s">
        <v>67</v>
      </c>
      <c r="C915" s="110">
        <v>9525</v>
      </c>
      <c r="D915" s="110">
        <v>26.39997</v>
      </c>
      <c r="E915" s="110">
        <v>7152</v>
      </c>
      <c r="F915" s="110">
        <v>304.94</v>
      </c>
      <c r="G915" s="110">
        <v>0.78499734392753751</v>
      </c>
      <c r="H915" s="110">
        <v>1.7024422252193705</v>
      </c>
      <c r="I915" s="110">
        <v>15505.95</v>
      </c>
      <c r="J915" s="110">
        <v>376.14490000000001</v>
      </c>
      <c r="K915" s="110">
        <v>0.85540504791524874</v>
      </c>
      <c r="L915" s="110">
        <v>1.6197241683620642</v>
      </c>
      <c r="M915" s="110"/>
      <c r="N915" s="110"/>
      <c r="O915" s="110"/>
      <c r="P915" s="110">
        <v>34.253140000000002</v>
      </c>
      <c r="Q915" s="110"/>
      <c r="R915" s="110"/>
      <c r="S915" s="110"/>
      <c r="T915" s="110"/>
    </row>
    <row r="916" spans="1:20">
      <c r="A916" s="110" t="s">
        <v>44</v>
      </c>
      <c r="B916" s="110" t="s">
        <v>67</v>
      </c>
      <c r="C916" s="110">
        <v>9525</v>
      </c>
      <c r="D916" s="110">
        <v>26.39997</v>
      </c>
      <c r="E916" s="110">
        <v>7152</v>
      </c>
      <c r="F916" s="110">
        <v>304.94</v>
      </c>
      <c r="G916" s="110">
        <v>0.78499734392753751</v>
      </c>
      <c r="H916" s="110">
        <v>1.7024422252193705</v>
      </c>
      <c r="I916" s="110">
        <v>15481</v>
      </c>
      <c r="J916" s="110">
        <v>375.8664</v>
      </c>
      <c r="K916" s="110">
        <v>0.85494153060503708</v>
      </c>
      <c r="L916" s="110">
        <v>1.6207114267912821</v>
      </c>
      <c r="M916" s="110"/>
      <c r="N916" s="110"/>
      <c r="O916" s="110"/>
      <c r="P916" s="110">
        <v>34.786239999999999</v>
      </c>
      <c r="Q916" s="110"/>
      <c r="R916" s="110"/>
      <c r="S916" s="110"/>
      <c r="T916" s="110"/>
    </row>
    <row r="917" spans="1:20">
      <c r="A917" s="110" t="s">
        <v>44</v>
      </c>
      <c r="B917" s="110" t="s">
        <v>67</v>
      </c>
      <c r="C917" s="110">
        <v>9525</v>
      </c>
      <c r="D917" s="110">
        <v>26.39997</v>
      </c>
      <c r="E917" s="110">
        <v>7152</v>
      </c>
      <c r="F917" s="110">
        <v>304.94</v>
      </c>
      <c r="G917" s="110">
        <v>0.78499734392753751</v>
      </c>
      <c r="H917" s="110">
        <v>1.7024422252193705</v>
      </c>
      <c r="I917" s="110">
        <v>15358.9</v>
      </c>
      <c r="J917" s="110">
        <v>374.64260000000002</v>
      </c>
      <c r="K917" s="110">
        <v>0.85288144901903051</v>
      </c>
      <c r="L917" s="110">
        <v>1.6232492715573288</v>
      </c>
      <c r="M917" s="110"/>
      <c r="N917" s="110"/>
      <c r="O917" s="110"/>
      <c r="P917" s="110">
        <v>37.031320000000001</v>
      </c>
      <c r="Q917" s="110"/>
      <c r="R917" s="110"/>
      <c r="S917" s="110"/>
      <c r="T917" s="110"/>
    </row>
    <row r="918" spans="1:20">
      <c r="A918" s="110" t="s">
        <v>44</v>
      </c>
      <c r="B918" s="110" t="s">
        <v>67</v>
      </c>
      <c r="C918" s="110">
        <v>9525</v>
      </c>
      <c r="D918" s="110">
        <v>26.39997</v>
      </c>
      <c r="E918" s="110">
        <v>7152</v>
      </c>
      <c r="F918" s="110">
        <v>304.94</v>
      </c>
      <c r="G918" s="110">
        <v>0.78499734392753751</v>
      </c>
      <c r="H918" s="110">
        <v>1.7024422252193705</v>
      </c>
      <c r="I918" s="110">
        <v>15127.57</v>
      </c>
      <c r="J918" s="110">
        <v>372.65199999999999</v>
      </c>
      <c r="K918" s="110">
        <v>0.84932640725426833</v>
      </c>
      <c r="L918" s="110">
        <v>1.6269547495896222</v>
      </c>
      <c r="M918" s="110"/>
      <c r="N918" s="110"/>
      <c r="O918" s="110"/>
      <c r="P918" s="110">
        <v>40.476230000000001</v>
      </c>
      <c r="Q918" s="110"/>
      <c r="R918" s="110"/>
      <c r="S918" s="110"/>
      <c r="T918" s="110"/>
    </row>
    <row r="919" spans="1:20">
      <c r="A919" s="110" t="s">
        <v>44</v>
      </c>
      <c r="B919" s="110" t="s">
        <v>67</v>
      </c>
      <c r="C919" s="110">
        <v>9525</v>
      </c>
      <c r="D919" s="110">
        <v>26.39997</v>
      </c>
      <c r="E919" s="110">
        <v>7152</v>
      </c>
      <c r="F919" s="110">
        <v>304.94</v>
      </c>
      <c r="G919" s="110">
        <v>0.78499734392753751</v>
      </c>
      <c r="H919" s="110">
        <v>1.7024422252193705</v>
      </c>
      <c r="I919" s="110">
        <v>14759.34</v>
      </c>
      <c r="J919" s="110">
        <v>369.96480000000003</v>
      </c>
      <c r="K919" s="110">
        <v>0.84382100811970062</v>
      </c>
      <c r="L919" s="110">
        <v>1.6337024183415836</v>
      </c>
      <c r="M919" s="110"/>
      <c r="N919" s="110"/>
      <c r="O919" s="110"/>
      <c r="P919" s="110">
        <v>44.829039999999999</v>
      </c>
      <c r="Q919" s="110"/>
      <c r="R919" s="110"/>
      <c r="S919" s="110"/>
      <c r="T919" s="110"/>
    </row>
    <row r="920" spans="1:20">
      <c r="A920" s="110" t="s">
        <v>44</v>
      </c>
      <c r="B920" s="110" t="s">
        <v>67</v>
      </c>
      <c r="C920" s="110">
        <v>9525</v>
      </c>
      <c r="D920" s="110">
        <v>26.39997</v>
      </c>
      <c r="E920" s="110">
        <v>7152</v>
      </c>
      <c r="F920" s="110">
        <v>304.94</v>
      </c>
      <c r="G920" s="110">
        <v>0.78499734392753751</v>
      </c>
      <c r="H920" s="110">
        <v>1.7024422252193705</v>
      </c>
      <c r="I920" s="110">
        <v>14380.67</v>
      </c>
      <c r="J920" s="110">
        <v>367.56380000000001</v>
      </c>
      <c r="K920" s="110">
        <v>0.84047859846166739</v>
      </c>
      <c r="L920" s="110">
        <v>1.6325062517601672</v>
      </c>
      <c r="M920" s="110"/>
      <c r="N920" s="110"/>
      <c r="O920" s="110"/>
      <c r="P920" s="110">
        <v>48.329250000000002</v>
      </c>
      <c r="Q920" s="110"/>
      <c r="R920" s="110"/>
      <c r="S920" s="110"/>
      <c r="T920" s="110"/>
    </row>
    <row r="921" spans="1:20">
      <c r="A921" s="110" t="s">
        <v>44</v>
      </c>
      <c r="B921" s="110" t="s">
        <v>67</v>
      </c>
      <c r="C921" s="110">
        <v>9525</v>
      </c>
      <c r="D921" s="110">
        <v>26.39997</v>
      </c>
      <c r="E921" s="110">
        <v>7152</v>
      </c>
      <c r="F921" s="110">
        <v>304.94</v>
      </c>
      <c r="G921" s="110">
        <v>0.78499734392753751</v>
      </c>
      <c r="H921" s="110">
        <v>1.7024422252193705</v>
      </c>
      <c r="I921" s="110">
        <v>13974.369999999999</v>
      </c>
      <c r="J921" s="110">
        <v>365.24459999999999</v>
      </c>
      <c r="K921" s="110">
        <v>0.83945190918403423</v>
      </c>
      <c r="L921" s="110">
        <v>1.6378673595807733</v>
      </c>
      <c r="M921" s="110"/>
      <c r="N921" s="110"/>
      <c r="O921" s="110"/>
      <c r="P921" s="110">
        <v>51.340420000000002</v>
      </c>
      <c r="Q921" s="110"/>
      <c r="R921" s="110"/>
      <c r="S921" s="110"/>
      <c r="T921" s="110"/>
    </row>
    <row r="922" spans="1:20">
      <c r="A922" s="110" t="s">
        <v>44</v>
      </c>
      <c r="B922" s="110" t="s">
        <v>67</v>
      </c>
      <c r="C922" s="110">
        <v>9525</v>
      </c>
      <c r="D922" s="110">
        <v>26.39997</v>
      </c>
      <c r="E922" s="110">
        <v>7152</v>
      </c>
      <c r="F922" s="110">
        <v>304.94</v>
      </c>
      <c r="G922" s="110">
        <v>0.78499734392753751</v>
      </c>
      <c r="H922" s="110">
        <v>1.7024422252193705</v>
      </c>
      <c r="I922" s="110">
        <v>13049.5</v>
      </c>
      <c r="J922" s="110">
        <v>360.44240000000002</v>
      </c>
      <c r="K922" s="110">
        <v>0.83249390215681041</v>
      </c>
      <c r="L922" s="110">
        <v>1.6501831212047293</v>
      </c>
      <c r="M922" s="110"/>
      <c r="N922" s="110"/>
      <c r="O922" s="110"/>
      <c r="P922" s="110">
        <v>56.467480000000002</v>
      </c>
      <c r="Q922" s="110"/>
      <c r="R922" s="110"/>
      <c r="S922" s="110"/>
      <c r="T922" s="110"/>
    </row>
    <row r="923" spans="1:20">
      <c r="A923" s="110" t="s">
        <v>44</v>
      </c>
      <c r="B923" s="110" t="s">
        <v>67</v>
      </c>
      <c r="C923" s="110">
        <v>9525</v>
      </c>
      <c r="D923" s="110">
        <v>26.39997</v>
      </c>
      <c r="E923" s="110">
        <v>7152</v>
      </c>
      <c r="F923" s="110">
        <v>304.94</v>
      </c>
      <c r="G923" s="110">
        <v>0.78499734392753751</v>
      </c>
      <c r="H923" s="110">
        <v>1.7024422252193705</v>
      </c>
      <c r="I923" s="110">
        <v>12863.390000000001</v>
      </c>
      <c r="J923" s="110">
        <v>359.50900000000001</v>
      </c>
      <c r="K923" s="110">
        <v>0.83225878263584296</v>
      </c>
      <c r="L923" s="110">
        <v>1.6333552110407412</v>
      </c>
      <c r="M923" s="110"/>
      <c r="N923" s="110"/>
      <c r="O923" s="110"/>
      <c r="P923" s="110">
        <v>57.284619999999997</v>
      </c>
      <c r="Q923" s="110"/>
      <c r="R923" s="110"/>
      <c r="S923" s="110"/>
      <c r="T923" s="110"/>
    </row>
    <row r="924" spans="1:20">
      <c r="A924" s="110" t="s">
        <v>44</v>
      </c>
      <c r="B924" s="110" t="s">
        <v>67</v>
      </c>
      <c r="C924" s="110">
        <v>9525</v>
      </c>
      <c r="D924" s="110">
        <v>26.39997</v>
      </c>
      <c r="E924" s="110">
        <v>7152</v>
      </c>
      <c r="F924" s="110">
        <v>304.94</v>
      </c>
      <c r="G924" s="110">
        <v>0.78499734392753751</v>
      </c>
      <c r="H924" s="110">
        <v>1.7024422252193705</v>
      </c>
      <c r="I924" s="110">
        <v>12595.59</v>
      </c>
      <c r="J924" s="110">
        <v>358.18150000000003</v>
      </c>
      <c r="K924" s="110">
        <v>0.83322954824606743</v>
      </c>
      <c r="L924" s="110">
        <v>1.6361940018318815</v>
      </c>
      <c r="M924" s="110"/>
      <c r="N924" s="110"/>
      <c r="O924" s="110"/>
      <c r="P924" s="110">
        <v>58.367989999999999</v>
      </c>
      <c r="Q924" s="110"/>
      <c r="R924" s="110"/>
      <c r="S924" s="110"/>
      <c r="T924" s="110"/>
    </row>
    <row r="925" spans="1:20">
      <c r="A925" s="110" t="s">
        <v>44</v>
      </c>
      <c r="B925" s="110" t="s">
        <v>67</v>
      </c>
      <c r="C925" s="110">
        <v>9525</v>
      </c>
      <c r="D925" s="110">
        <v>26.39997</v>
      </c>
      <c r="E925" s="110">
        <v>7152</v>
      </c>
      <c r="F925" s="110">
        <v>304.94</v>
      </c>
      <c r="G925" s="110">
        <v>0.78499734392753751</v>
      </c>
      <c r="H925" s="110">
        <v>1.7024422252193705</v>
      </c>
      <c r="I925" s="110">
        <v>12380.86</v>
      </c>
      <c r="J925" s="110">
        <v>357.1259</v>
      </c>
      <c r="K925" s="110">
        <v>0.83324534051511912</v>
      </c>
      <c r="L925" s="110">
        <v>1.6381992081657097</v>
      </c>
      <c r="M925" s="110"/>
      <c r="N925" s="110"/>
      <c r="O925" s="110"/>
      <c r="P925" s="110">
        <v>59.154890000000002</v>
      </c>
      <c r="Q925" s="110"/>
      <c r="R925" s="110"/>
      <c r="S925" s="110"/>
      <c r="T925" s="110"/>
    </row>
    <row r="926" spans="1:20">
      <c r="A926" s="110" t="s">
        <v>44</v>
      </c>
      <c r="B926" s="110" t="s">
        <v>67</v>
      </c>
      <c r="C926" s="110">
        <v>9525</v>
      </c>
      <c r="D926" s="110">
        <v>26.39997</v>
      </c>
      <c r="E926" s="110">
        <v>7152</v>
      </c>
      <c r="F926" s="110">
        <v>304.94</v>
      </c>
      <c r="G926" s="110">
        <v>0.78499734392753751</v>
      </c>
      <c r="H926" s="110">
        <v>1.7024422252193705</v>
      </c>
      <c r="I926" s="110">
        <v>11871.75</v>
      </c>
      <c r="J926" s="110">
        <v>354.64949999999999</v>
      </c>
      <c r="K926" s="110">
        <v>0.83120616809610137</v>
      </c>
      <c r="L926" s="110">
        <v>1.6429118429658487</v>
      </c>
      <c r="M926" s="110"/>
      <c r="N926" s="110"/>
      <c r="O926" s="110"/>
      <c r="P926" s="110">
        <v>60.76699</v>
      </c>
      <c r="Q926" s="110"/>
      <c r="R926" s="110"/>
      <c r="S926" s="110"/>
      <c r="T926" s="110"/>
    </row>
    <row r="927" spans="1:20">
      <c r="A927" s="110" t="s">
        <v>44</v>
      </c>
      <c r="B927" s="110" t="s">
        <v>67</v>
      </c>
      <c r="C927" s="110">
        <v>9525</v>
      </c>
      <c r="D927" s="110">
        <v>26.39997</v>
      </c>
      <c r="E927" s="110">
        <v>7152</v>
      </c>
      <c r="F927" s="110">
        <v>304.94</v>
      </c>
      <c r="G927" s="110">
        <v>0.78499734392753751</v>
      </c>
      <c r="H927" s="110">
        <v>1.7024422252193705</v>
      </c>
      <c r="I927" s="110">
        <v>11616.16</v>
      </c>
      <c r="J927" s="110">
        <v>353.40620000000001</v>
      </c>
      <c r="K927" s="110">
        <v>0.82905438435927692</v>
      </c>
      <c r="L927" s="110">
        <v>1.6453262395769581</v>
      </c>
      <c r="M927" s="110"/>
      <c r="N927" s="110"/>
      <c r="O927" s="110"/>
      <c r="P927" s="110">
        <v>61.488430000000001</v>
      </c>
      <c r="Q927" s="110"/>
      <c r="R927" s="110"/>
      <c r="S927" s="110"/>
      <c r="T927" s="110"/>
    </row>
    <row r="928" spans="1:20">
      <c r="A928" s="110" t="s">
        <v>44</v>
      </c>
      <c r="B928" s="110" t="s">
        <v>67</v>
      </c>
      <c r="C928" s="110">
        <v>9525</v>
      </c>
      <c r="D928" s="110">
        <v>26.39997</v>
      </c>
      <c r="E928" s="110">
        <v>7152</v>
      </c>
      <c r="F928" s="110">
        <v>304.94</v>
      </c>
      <c r="G928" s="110">
        <v>0.78499734392753751</v>
      </c>
      <c r="H928" s="110">
        <v>1.7024422252193705</v>
      </c>
      <c r="I928" s="110">
        <v>11069.89</v>
      </c>
      <c r="J928" s="110">
        <v>350.74200000000002</v>
      </c>
      <c r="K928" s="110">
        <v>0.83174057813771718</v>
      </c>
      <c r="L928" s="110">
        <v>1.621559929893378</v>
      </c>
      <c r="M928" s="110"/>
      <c r="N928" s="110"/>
      <c r="O928" s="110"/>
      <c r="P928" s="110">
        <v>62.846319999999999</v>
      </c>
      <c r="Q928" s="110"/>
      <c r="R928" s="110"/>
      <c r="S928" s="110"/>
      <c r="T928" s="110"/>
    </row>
    <row r="929" spans="1:20">
      <c r="A929" s="110" t="s">
        <v>44</v>
      </c>
      <c r="B929" s="110" t="s">
        <v>67</v>
      </c>
      <c r="C929" s="110">
        <v>9525</v>
      </c>
      <c r="D929" s="110">
        <v>26.39997</v>
      </c>
      <c r="E929" s="110">
        <v>7152</v>
      </c>
      <c r="F929" s="110">
        <v>304.94</v>
      </c>
      <c r="G929" s="110">
        <v>0.78499734392753751</v>
      </c>
      <c r="H929" s="110">
        <v>1.7024422252193705</v>
      </c>
      <c r="I929" s="110">
        <v>10793.53</v>
      </c>
      <c r="J929" s="110">
        <v>349.38029999999998</v>
      </c>
      <c r="K929" s="110">
        <v>0.83195728301503902</v>
      </c>
      <c r="L929" s="110">
        <v>1.6242335601437909</v>
      </c>
      <c r="M929" s="110"/>
      <c r="N929" s="110"/>
      <c r="O929" s="110"/>
      <c r="P929" s="110">
        <v>63.462739999999997</v>
      </c>
      <c r="Q929" s="110"/>
      <c r="R929" s="110"/>
      <c r="S929" s="110"/>
      <c r="T929" s="110"/>
    </row>
    <row r="930" spans="1:20">
      <c r="A930" s="110" t="s">
        <v>44</v>
      </c>
      <c r="B930" s="110" t="s">
        <v>67</v>
      </c>
      <c r="C930" s="110">
        <v>9525</v>
      </c>
      <c r="D930" s="110">
        <v>26.39997</v>
      </c>
      <c r="E930" s="110">
        <v>7152</v>
      </c>
      <c r="F930" s="110">
        <v>304.94</v>
      </c>
      <c r="G930" s="110">
        <v>0.78499734392753751</v>
      </c>
      <c r="H930" s="110">
        <v>1.7024422252193705</v>
      </c>
      <c r="I930" s="110">
        <v>10531.480000000001</v>
      </c>
      <c r="J930" s="110">
        <v>348.06450000000001</v>
      </c>
      <c r="K930" s="110">
        <v>0.83107264690591953</v>
      </c>
      <c r="L930" s="110">
        <v>1.6269444288770847</v>
      </c>
      <c r="M930" s="110"/>
      <c r="N930" s="110"/>
      <c r="O930" s="110"/>
      <c r="P930" s="110">
        <v>64.012559999999993</v>
      </c>
      <c r="Q930" s="110"/>
      <c r="R930" s="110"/>
      <c r="S930" s="110"/>
      <c r="T930" s="110"/>
    </row>
    <row r="931" spans="1:20">
      <c r="A931" s="110" t="s">
        <v>44</v>
      </c>
      <c r="B931" s="110" t="s">
        <v>67</v>
      </c>
      <c r="C931" s="110">
        <v>9525</v>
      </c>
      <c r="D931" s="110">
        <v>26.39997</v>
      </c>
      <c r="E931" s="110">
        <v>7152</v>
      </c>
      <c r="F931" s="110">
        <v>304.94</v>
      </c>
      <c r="G931" s="110">
        <v>0.78499734392753751</v>
      </c>
      <c r="H931" s="110">
        <v>1.7024422252193705</v>
      </c>
      <c r="I931" s="110">
        <v>10327.129999999999</v>
      </c>
      <c r="J931" s="110">
        <v>347.02679999999998</v>
      </c>
      <c r="K931" s="110">
        <v>0.82956060797547404</v>
      </c>
      <c r="L931" s="110">
        <v>1.6290981230135229</v>
      </c>
      <c r="M931" s="110"/>
      <c r="N931" s="110"/>
      <c r="O931" s="110"/>
      <c r="P931" s="110">
        <v>64.422409999999999</v>
      </c>
      <c r="Q931" s="110"/>
      <c r="R931" s="110"/>
      <c r="S931" s="110"/>
      <c r="T931" s="110"/>
    </row>
    <row r="932" spans="1:20">
      <c r="A932" s="110" t="s">
        <v>44</v>
      </c>
      <c r="B932" s="110" t="s">
        <v>67</v>
      </c>
      <c r="C932" s="110">
        <v>8890</v>
      </c>
      <c r="D932" s="110">
        <v>26.39997</v>
      </c>
      <c r="E932" s="110">
        <v>7152</v>
      </c>
      <c r="F932" s="110">
        <v>304.94</v>
      </c>
      <c r="G932" s="110">
        <v>0.78499734392753751</v>
      </c>
      <c r="H932" s="110">
        <v>1.7024422252193705</v>
      </c>
      <c r="I932" s="110">
        <v>14130.359999999999</v>
      </c>
      <c r="J932" s="110">
        <v>368.12240000000003</v>
      </c>
      <c r="K932" s="110">
        <v>0.84433393469191331</v>
      </c>
      <c r="L932" s="110">
        <v>1.626961272568636</v>
      </c>
      <c r="M932" s="110"/>
      <c r="N932" s="110"/>
      <c r="O932" s="110"/>
      <c r="P932" s="110">
        <v>31.163129999999999</v>
      </c>
      <c r="Q932" s="110"/>
      <c r="R932" s="110"/>
      <c r="S932" s="110"/>
      <c r="T932" s="110"/>
    </row>
    <row r="933" spans="1:20">
      <c r="A933" s="110" t="s">
        <v>44</v>
      </c>
      <c r="B933" s="110" t="s">
        <v>67</v>
      </c>
      <c r="C933" s="110">
        <v>8890</v>
      </c>
      <c r="D933" s="110">
        <v>26.39997</v>
      </c>
      <c r="E933" s="110">
        <v>7152</v>
      </c>
      <c r="F933" s="110">
        <v>304.94</v>
      </c>
      <c r="G933" s="110">
        <v>0.78499734392753751</v>
      </c>
      <c r="H933" s="110">
        <v>1.7024422252193705</v>
      </c>
      <c r="I933" s="110">
        <v>14110.589999999998</v>
      </c>
      <c r="J933" s="110">
        <v>367.8811</v>
      </c>
      <c r="K933" s="110">
        <v>0.84399614338201812</v>
      </c>
      <c r="L933" s="110">
        <v>1.6279494838587487</v>
      </c>
      <c r="M933" s="110"/>
      <c r="N933" s="110"/>
      <c r="O933" s="110"/>
      <c r="P933" s="110">
        <v>31.605989999999998</v>
      </c>
      <c r="Q933" s="110"/>
      <c r="R933" s="110"/>
      <c r="S933" s="110"/>
      <c r="T933" s="110"/>
    </row>
    <row r="934" spans="1:20">
      <c r="A934" s="110" t="s">
        <v>44</v>
      </c>
      <c r="B934" s="110" t="s">
        <v>67</v>
      </c>
      <c r="C934" s="110">
        <v>8890</v>
      </c>
      <c r="D934" s="110">
        <v>26.39997</v>
      </c>
      <c r="E934" s="110">
        <v>7152</v>
      </c>
      <c r="F934" s="110">
        <v>304.94</v>
      </c>
      <c r="G934" s="110">
        <v>0.78499734392753751</v>
      </c>
      <c r="H934" s="110">
        <v>1.7024422252193705</v>
      </c>
      <c r="I934" s="110">
        <v>14095.55</v>
      </c>
      <c r="J934" s="110">
        <v>367.70440000000002</v>
      </c>
      <c r="K934" s="110">
        <v>0.84375147177919807</v>
      </c>
      <c r="L934" s="110">
        <v>1.6286642340326807</v>
      </c>
      <c r="M934" s="110"/>
      <c r="N934" s="110"/>
      <c r="O934" s="110"/>
      <c r="P934" s="110">
        <v>31.924440000000001</v>
      </c>
      <c r="Q934" s="110"/>
      <c r="R934" s="110"/>
      <c r="S934" s="110"/>
      <c r="T934" s="110"/>
    </row>
    <row r="935" spans="1:20">
      <c r="A935" s="110" t="s">
        <v>44</v>
      </c>
      <c r="B935" s="110" t="s">
        <v>67</v>
      </c>
      <c r="C935" s="110">
        <v>8890</v>
      </c>
      <c r="D935" s="110">
        <v>26.39997</v>
      </c>
      <c r="E935" s="110">
        <v>7152</v>
      </c>
      <c r="F935" s="110">
        <v>304.94</v>
      </c>
      <c r="G935" s="110">
        <v>0.78499734392753751</v>
      </c>
      <c r="H935" s="110">
        <v>1.7024422252193705</v>
      </c>
      <c r="I935" s="110">
        <v>13997.79</v>
      </c>
      <c r="J935" s="110">
        <v>366.6429</v>
      </c>
      <c r="K935" s="110">
        <v>0.84229676655669583</v>
      </c>
      <c r="L935" s="110">
        <v>1.6328494709398174</v>
      </c>
      <c r="M935" s="110"/>
      <c r="N935" s="110"/>
      <c r="O935" s="110"/>
      <c r="P935" s="110">
        <v>33.803420000000003</v>
      </c>
      <c r="Q935" s="110"/>
      <c r="R935" s="110"/>
      <c r="S935" s="110"/>
      <c r="T935" s="110"/>
    </row>
    <row r="936" spans="1:20">
      <c r="A936" s="110" t="s">
        <v>44</v>
      </c>
      <c r="B936" s="110" t="s">
        <v>67</v>
      </c>
      <c r="C936" s="110">
        <v>8890</v>
      </c>
      <c r="D936" s="110">
        <v>26.39997</v>
      </c>
      <c r="E936" s="110">
        <v>7152</v>
      </c>
      <c r="F936" s="110">
        <v>304.94</v>
      </c>
      <c r="G936" s="110">
        <v>0.78499734392753751</v>
      </c>
      <c r="H936" s="110">
        <v>1.7024422252193705</v>
      </c>
      <c r="I936" s="110">
        <v>13818.7</v>
      </c>
      <c r="J936" s="110">
        <v>364.96530000000001</v>
      </c>
      <c r="K936" s="110">
        <v>0.83997775132140029</v>
      </c>
      <c r="L936" s="110">
        <v>1.6387253064727063</v>
      </c>
      <c r="M936" s="110"/>
      <c r="N936" s="110"/>
      <c r="O936" s="110"/>
      <c r="P936" s="110">
        <v>36.655329999999999</v>
      </c>
      <c r="Q936" s="110"/>
      <c r="R936" s="110"/>
      <c r="S936" s="110"/>
      <c r="T936" s="110"/>
    </row>
    <row r="937" spans="1:20">
      <c r="A937" s="110" t="s">
        <v>44</v>
      </c>
      <c r="B937" s="110" t="s">
        <v>67</v>
      </c>
      <c r="C937" s="110">
        <v>8890</v>
      </c>
      <c r="D937" s="110">
        <v>26.39997</v>
      </c>
      <c r="E937" s="110">
        <v>7152</v>
      </c>
      <c r="F937" s="110">
        <v>304.94</v>
      </c>
      <c r="G937" s="110">
        <v>0.78499734392753751</v>
      </c>
      <c r="H937" s="110">
        <v>1.7024422252193705</v>
      </c>
      <c r="I937" s="110">
        <v>13533.97</v>
      </c>
      <c r="J937" s="110">
        <v>362.7115</v>
      </c>
      <c r="K937" s="110">
        <v>0.83657958856763881</v>
      </c>
      <c r="L937" s="110">
        <v>1.6440650693638834</v>
      </c>
      <c r="M937" s="110"/>
      <c r="N937" s="110"/>
      <c r="O937" s="110"/>
      <c r="P937" s="110">
        <v>40.235059999999997</v>
      </c>
      <c r="Q937" s="110"/>
      <c r="R937" s="110"/>
      <c r="S937" s="110"/>
      <c r="T937" s="110"/>
    </row>
    <row r="938" spans="1:20">
      <c r="A938" s="110" t="s">
        <v>44</v>
      </c>
      <c r="B938" s="110" t="s">
        <v>67</v>
      </c>
      <c r="C938" s="110">
        <v>8890</v>
      </c>
      <c r="D938" s="110">
        <v>26.39997</v>
      </c>
      <c r="E938" s="110">
        <v>7152</v>
      </c>
      <c r="F938" s="110">
        <v>304.94</v>
      </c>
      <c r="G938" s="110">
        <v>0.78499734392753751</v>
      </c>
      <c r="H938" s="110">
        <v>1.7024422252193705</v>
      </c>
      <c r="I938" s="110">
        <v>13253.25</v>
      </c>
      <c r="J938" s="110">
        <v>360.7473</v>
      </c>
      <c r="K938" s="110">
        <v>0.83306684689600496</v>
      </c>
      <c r="L938" s="110">
        <v>1.6489795012150574</v>
      </c>
      <c r="M938" s="110"/>
      <c r="N938" s="110"/>
      <c r="O938" s="110"/>
      <c r="P938" s="110">
        <v>43.104500000000002</v>
      </c>
      <c r="Q938" s="110"/>
      <c r="R938" s="110"/>
      <c r="S938" s="110"/>
      <c r="T938" s="110"/>
    </row>
    <row r="939" spans="1:20">
      <c r="A939" s="110" t="s">
        <v>44</v>
      </c>
      <c r="B939" s="110" t="s">
        <v>67</v>
      </c>
      <c r="C939" s="110">
        <v>8890</v>
      </c>
      <c r="D939" s="110">
        <v>26.39997</v>
      </c>
      <c r="E939" s="110">
        <v>7152</v>
      </c>
      <c r="F939" s="110">
        <v>304.94</v>
      </c>
      <c r="G939" s="110">
        <v>0.78499734392753751</v>
      </c>
      <c r="H939" s="110">
        <v>1.7024422252193705</v>
      </c>
      <c r="I939" s="110">
        <v>12966.1</v>
      </c>
      <c r="J939" s="110">
        <v>358.89150000000001</v>
      </c>
      <c r="K939" s="110">
        <v>0.82921821796797834</v>
      </c>
      <c r="L939" s="110">
        <v>1.6395740062642057</v>
      </c>
      <c r="M939" s="110"/>
      <c r="N939" s="110"/>
      <c r="O939" s="110"/>
      <c r="P939" s="110">
        <v>45.569389999999999</v>
      </c>
      <c r="Q939" s="110"/>
      <c r="R939" s="110"/>
      <c r="S939" s="110"/>
      <c r="T939" s="110"/>
    </row>
    <row r="940" spans="1:20">
      <c r="A940" s="110" t="s">
        <v>44</v>
      </c>
      <c r="B940" s="110" t="s">
        <v>67</v>
      </c>
      <c r="C940" s="110">
        <v>8890</v>
      </c>
      <c r="D940" s="110">
        <v>26.39997</v>
      </c>
      <c r="E940" s="110">
        <v>7152</v>
      </c>
      <c r="F940" s="110">
        <v>304.94</v>
      </c>
      <c r="G940" s="110">
        <v>0.78499734392753751</v>
      </c>
      <c r="H940" s="110">
        <v>1.7024422252193705</v>
      </c>
      <c r="I940" s="110">
        <v>12343.1</v>
      </c>
      <c r="J940" s="110">
        <v>355.23169999999999</v>
      </c>
      <c r="K940" s="110">
        <v>0.82922361053562554</v>
      </c>
      <c r="L940" s="110">
        <v>1.6498539986187377</v>
      </c>
      <c r="M940" s="110"/>
      <c r="N940" s="110"/>
      <c r="O940" s="110"/>
      <c r="P940" s="110">
        <v>49.761589999999998</v>
      </c>
      <c r="Q940" s="110"/>
      <c r="R940" s="110"/>
      <c r="S940" s="110"/>
      <c r="T940" s="110"/>
    </row>
    <row r="941" spans="1:20">
      <c r="A941" s="110" t="s">
        <v>44</v>
      </c>
      <c r="B941" s="110" t="s">
        <v>67</v>
      </c>
      <c r="C941" s="110">
        <v>8890</v>
      </c>
      <c r="D941" s="110">
        <v>26.39997</v>
      </c>
      <c r="E941" s="110">
        <v>7152</v>
      </c>
      <c r="F941" s="110">
        <v>304.94</v>
      </c>
      <c r="G941" s="110">
        <v>0.78499734392753751</v>
      </c>
      <c r="H941" s="110">
        <v>1.7024422252193705</v>
      </c>
      <c r="I941" s="110">
        <v>11596.29</v>
      </c>
      <c r="J941" s="110">
        <v>351.22</v>
      </c>
      <c r="K941" s="110">
        <v>0.82410104499735903</v>
      </c>
      <c r="L941" s="110">
        <v>1.6601920246613835</v>
      </c>
      <c r="M941" s="110"/>
      <c r="N941" s="110"/>
      <c r="O941" s="110"/>
      <c r="P941" s="110">
        <v>53.331090000000003</v>
      </c>
      <c r="Q941" s="110"/>
      <c r="R941" s="110"/>
      <c r="S941" s="110"/>
      <c r="T941" s="110"/>
    </row>
    <row r="942" spans="1:20">
      <c r="A942" s="110" t="s">
        <v>44</v>
      </c>
      <c r="B942" s="110" t="s">
        <v>67</v>
      </c>
      <c r="C942" s="110">
        <v>8890</v>
      </c>
      <c r="D942" s="110">
        <v>26.39997</v>
      </c>
      <c r="E942" s="110">
        <v>7152</v>
      </c>
      <c r="F942" s="110">
        <v>304.94</v>
      </c>
      <c r="G942" s="110">
        <v>0.78499734392753751</v>
      </c>
      <c r="H942" s="110">
        <v>1.7024422252193705</v>
      </c>
      <c r="I942" s="110">
        <v>10746.53</v>
      </c>
      <c r="J942" s="110">
        <v>346.77550000000002</v>
      </c>
      <c r="K942" s="110">
        <v>0.8265206791039772</v>
      </c>
      <c r="L942" s="110">
        <v>1.6424282476217753</v>
      </c>
      <c r="M942" s="110"/>
      <c r="N942" s="110"/>
      <c r="O942" s="110"/>
      <c r="P942" s="110">
        <v>56.254130000000004</v>
      </c>
      <c r="Q942" s="110"/>
      <c r="R942" s="110"/>
      <c r="S942" s="110"/>
      <c r="T942" s="110"/>
    </row>
    <row r="943" spans="1:20">
      <c r="A943" s="110" t="s">
        <v>44</v>
      </c>
      <c r="B943" s="110" t="s">
        <v>67</v>
      </c>
      <c r="C943" s="110">
        <v>8890</v>
      </c>
      <c r="D943" s="110">
        <v>26.39997</v>
      </c>
      <c r="E943" s="110">
        <v>7152</v>
      </c>
      <c r="F943" s="110">
        <v>304.94</v>
      </c>
      <c r="G943" s="110">
        <v>0.78499734392753751</v>
      </c>
      <c r="H943" s="110">
        <v>1.7024422252193705</v>
      </c>
      <c r="I943" s="110">
        <v>10592.98</v>
      </c>
      <c r="J943" s="110">
        <v>345.97120000000001</v>
      </c>
      <c r="K943" s="110">
        <v>0.82580264057905517</v>
      </c>
      <c r="L943" s="110">
        <v>1.6444326052097595</v>
      </c>
      <c r="M943" s="110"/>
      <c r="N943" s="110"/>
      <c r="O943" s="110"/>
      <c r="P943" s="110">
        <v>56.699829999999999</v>
      </c>
      <c r="Q943" s="110"/>
      <c r="R943" s="110"/>
      <c r="S943" s="110"/>
      <c r="T943" s="110"/>
    </row>
    <row r="944" spans="1:20">
      <c r="A944" s="110" t="s">
        <v>44</v>
      </c>
      <c r="B944" s="110" t="s">
        <v>67</v>
      </c>
      <c r="C944" s="110">
        <v>8890</v>
      </c>
      <c r="D944" s="110">
        <v>26.39997</v>
      </c>
      <c r="E944" s="110">
        <v>7152</v>
      </c>
      <c r="F944" s="110">
        <v>304.94</v>
      </c>
      <c r="G944" s="110">
        <v>0.78499734392753751</v>
      </c>
      <c r="H944" s="110">
        <v>1.7024422252193705</v>
      </c>
      <c r="I944" s="110">
        <v>10335.83</v>
      </c>
      <c r="J944" s="110">
        <v>344.62549999999999</v>
      </c>
      <c r="K944" s="110">
        <v>0.82383994125176652</v>
      </c>
      <c r="L944" s="110">
        <v>1.6479060317325931</v>
      </c>
      <c r="M944" s="110"/>
      <c r="N944" s="110"/>
      <c r="O944" s="110"/>
      <c r="P944" s="110">
        <v>57.383029999999998</v>
      </c>
      <c r="Q944" s="110"/>
      <c r="R944" s="110"/>
      <c r="S944" s="110"/>
      <c r="T944" s="110"/>
    </row>
    <row r="945" spans="1:20">
      <c r="A945" s="110" t="s">
        <v>44</v>
      </c>
      <c r="B945" s="110" t="s">
        <v>67</v>
      </c>
      <c r="C945" s="110">
        <v>8890</v>
      </c>
      <c r="D945" s="110">
        <v>26.39997</v>
      </c>
      <c r="E945" s="110">
        <v>7152</v>
      </c>
      <c r="F945" s="110">
        <v>304.94</v>
      </c>
      <c r="G945" s="110">
        <v>0.78499734392753751</v>
      </c>
      <c r="H945" s="110">
        <v>1.7024422252193705</v>
      </c>
      <c r="I945" s="110">
        <v>10079.91</v>
      </c>
      <c r="J945" s="110">
        <v>343.28070000000002</v>
      </c>
      <c r="K945" s="110">
        <v>0.82602840365010599</v>
      </c>
      <c r="L945" s="110">
        <v>1.6124922482674022</v>
      </c>
      <c r="M945" s="110"/>
      <c r="N945" s="110"/>
      <c r="O945" s="110"/>
      <c r="P945" s="110">
        <v>58.017060000000001</v>
      </c>
      <c r="Q945" s="110"/>
      <c r="R945" s="110"/>
      <c r="S945" s="110"/>
      <c r="T945" s="110"/>
    </row>
    <row r="946" spans="1:20">
      <c r="A946" s="110" t="s">
        <v>44</v>
      </c>
      <c r="B946" s="110" t="s">
        <v>67</v>
      </c>
      <c r="C946" s="110">
        <v>8890</v>
      </c>
      <c r="D946" s="110">
        <v>26.39997</v>
      </c>
      <c r="E946" s="110">
        <v>7152</v>
      </c>
      <c r="F946" s="110">
        <v>304.94</v>
      </c>
      <c r="G946" s="110">
        <v>0.78499734392753751</v>
      </c>
      <c r="H946" s="110">
        <v>1.7024422252193705</v>
      </c>
      <c r="I946" s="110">
        <v>9984.0670000000009</v>
      </c>
      <c r="J946" s="110">
        <v>342.77710000000002</v>
      </c>
      <c r="K946" s="110">
        <v>0.8268086189497782</v>
      </c>
      <c r="L946" s="110">
        <v>1.6135624175383669</v>
      </c>
      <c r="M946" s="110"/>
      <c r="N946" s="110"/>
      <c r="O946" s="110"/>
      <c r="P946" s="110">
        <v>58.244259999999997</v>
      </c>
      <c r="Q946" s="110"/>
      <c r="R946" s="110"/>
      <c r="S946" s="110"/>
      <c r="T946" s="110"/>
    </row>
    <row r="947" spans="1:20">
      <c r="A947" s="110" t="s">
        <v>44</v>
      </c>
      <c r="B947" s="110" t="s">
        <v>67</v>
      </c>
      <c r="C947" s="110">
        <v>8890</v>
      </c>
      <c r="D947" s="110">
        <v>26.39997</v>
      </c>
      <c r="E947" s="110">
        <v>7152</v>
      </c>
      <c r="F947" s="110">
        <v>304.94</v>
      </c>
      <c r="G947" s="110">
        <v>0.78499734392753751</v>
      </c>
      <c r="H947" s="110">
        <v>1.7024422252193705</v>
      </c>
      <c r="I947" s="110">
        <v>9962.2620000000006</v>
      </c>
      <c r="J947" s="110">
        <v>342.66210000000001</v>
      </c>
      <c r="K947" s="110">
        <v>0.82696129228132931</v>
      </c>
      <c r="L947" s="110">
        <v>1.6138097014728803</v>
      </c>
      <c r="M947" s="110"/>
      <c r="N947" s="110"/>
      <c r="O947" s="110"/>
      <c r="P947" s="110">
        <v>58.294379999999997</v>
      </c>
      <c r="Q947" s="110"/>
      <c r="R947" s="110"/>
      <c r="S947" s="110"/>
      <c r="T947" s="110"/>
    </row>
    <row r="948" spans="1:20">
      <c r="A948" s="110" t="s">
        <v>44</v>
      </c>
      <c r="B948" s="110" t="s">
        <v>106</v>
      </c>
      <c r="C948" s="110">
        <v>13335</v>
      </c>
      <c r="D948" s="110">
        <v>20.160979999999999</v>
      </c>
      <c r="E948" s="110">
        <v>5200</v>
      </c>
      <c r="F948" s="110">
        <v>323.14999999999998</v>
      </c>
      <c r="G948" s="110">
        <v>0.90600893860030307</v>
      </c>
      <c r="H948" s="110">
        <v>1.4089321062599003</v>
      </c>
      <c r="I948" s="110">
        <v>13661.449999999999</v>
      </c>
      <c r="J948" s="110">
        <v>411.37090000000001</v>
      </c>
      <c r="K948" s="110">
        <v>0.94645936010838849</v>
      </c>
      <c r="L948" s="110">
        <v>1.3822749117074042</v>
      </c>
      <c r="M948" s="110"/>
      <c r="N948" s="110"/>
      <c r="O948" s="110"/>
      <c r="P948" s="110">
        <v>24.092210000000001</v>
      </c>
      <c r="Q948" s="110"/>
      <c r="R948" s="110"/>
      <c r="S948" s="110"/>
      <c r="T948" s="110"/>
    </row>
    <row r="949" spans="1:20">
      <c r="A949" s="110" t="s">
        <v>44</v>
      </c>
      <c r="B949" s="110" t="s">
        <v>106</v>
      </c>
      <c r="C949" s="110">
        <v>13335</v>
      </c>
      <c r="D949" s="110">
        <v>20.160979999999999</v>
      </c>
      <c r="E949" s="110">
        <v>5200</v>
      </c>
      <c r="F949" s="110">
        <v>323.14999999999998</v>
      </c>
      <c r="G949" s="110">
        <v>0.90600893860030307</v>
      </c>
      <c r="H949" s="110">
        <v>1.4089321062599003</v>
      </c>
      <c r="I949" s="110">
        <v>13601.990000000002</v>
      </c>
      <c r="J949" s="110">
        <v>410.65649999999999</v>
      </c>
      <c r="K949" s="110">
        <v>0.94605560117463039</v>
      </c>
      <c r="L949" s="110">
        <v>1.3830557779753345</v>
      </c>
      <c r="M949" s="110"/>
      <c r="N949" s="110"/>
      <c r="O949" s="110"/>
      <c r="P949" s="110">
        <v>24.851590000000002</v>
      </c>
      <c r="Q949" s="110"/>
      <c r="R949" s="110"/>
      <c r="S949" s="110"/>
      <c r="T949" s="110"/>
    </row>
    <row r="950" spans="1:20">
      <c r="A950" s="110" t="s">
        <v>44</v>
      </c>
      <c r="B950" s="110" t="s">
        <v>106</v>
      </c>
      <c r="C950" s="110">
        <v>13335</v>
      </c>
      <c r="D950" s="110">
        <v>20.160979999999999</v>
      </c>
      <c r="E950" s="110">
        <v>5200</v>
      </c>
      <c r="F950" s="110">
        <v>323.14999999999998</v>
      </c>
      <c r="G950" s="110">
        <v>0.90600893860030307</v>
      </c>
      <c r="H950" s="110">
        <v>1.4089321062599003</v>
      </c>
      <c r="I950" s="110">
        <v>13492.65</v>
      </c>
      <c r="J950" s="110">
        <v>409.44600000000003</v>
      </c>
      <c r="K950" s="110">
        <v>0.94531581222117889</v>
      </c>
      <c r="L950" s="110">
        <v>1.3842618556256583</v>
      </c>
      <c r="M950" s="110"/>
      <c r="N950" s="110"/>
      <c r="O950" s="110"/>
      <c r="P950" s="110">
        <v>26.094149999999999</v>
      </c>
      <c r="Q950" s="110"/>
      <c r="R950" s="110"/>
      <c r="S950" s="110"/>
      <c r="T950" s="110"/>
    </row>
    <row r="951" spans="1:20">
      <c r="A951" s="110" t="s">
        <v>44</v>
      </c>
      <c r="B951" s="110" t="s">
        <v>106</v>
      </c>
      <c r="C951" s="110">
        <v>13335</v>
      </c>
      <c r="D951" s="110">
        <v>20.160979999999999</v>
      </c>
      <c r="E951" s="110">
        <v>5200</v>
      </c>
      <c r="F951" s="110">
        <v>323.14999999999998</v>
      </c>
      <c r="G951" s="110">
        <v>0.90600893860030307</v>
      </c>
      <c r="H951" s="110">
        <v>1.4089321062599003</v>
      </c>
      <c r="I951" s="110">
        <v>13230.779999999999</v>
      </c>
      <c r="J951" s="110">
        <v>406.87889999999999</v>
      </c>
      <c r="K951" s="110">
        <v>0.94335577646738344</v>
      </c>
      <c r="L951" s="110">
        <v>1.3867701821578662</v>
      </c>
      <c r="M951" s="110"/>
      <c r="N951" s="110"/>
      <c r="O951" s="110"/>
      <c r="P951" s="110">
        <v>28.477260000000001</v>
      </c>
      <c r="Q951" s="110"/>
      <c r="R951" s="110"/>
      <c r="S951" s="110"/>
      <c r="T951" s="110"/>
    </row>
    <row r="952" spans="1:20">
      <c r="A952" s="110" t="s">
        <v>44</v>
      </c>
      <c r="B952" s="110" t="s">
        <v>106</v>
      </c>
      <c r="C952" s="110">
        <v>13335</v>
      </c>
      <c r="D952" s="110">
        <v>20.160979999999999</v>
      </c>
      <c r="E952" s="110">
        <v>5200</v>
      </c>
      <c r="F952" s="110">
        <v>323.14999999999998</v>
      </c>
      <c r="G952" s="110">
        <v>0.90600893860030307</v>
      </c>
      <c r="H952" s="110">
        <v>1.4089321062599003</v>
      </c>
      <c r="I952" s="110">
        <v>12815.76</v>
      </c>
      <c r="J952" s="110">
        <v>403.43920000000003</v>
      </c>
      <c r="K952" s="110">
        <v>0.93939089960770727</v>
      </c>
      <c r="L952" s="110">
        <v>1.3901520171206232</v>
      </c>
      <c r="M952" s="110"/>
      <c r="N952" s="110"/>
      <c r="O952" s="110"/>
      <c r="P952" s="110">
        <v>31.62829</v>
      </c>
      <c r="Q952" s="110"/>
      <c r="R952" s="110"/>
      <c r="S952" s="110"/>
      <c r="T952" s="110"/>
    </row>
    <row r="953" spans="1:20">
      <c r="A953" s="110" t="s">
        <v>44</v>
      </c>
      <c r="B953" s="110" t="s">
        <v>106</v>
      </c>
      <c r="C953" s="110">
        <v>13335</v>
      </c>
      <c r="D953" s="110">
        <v>20.160979999999999</v>
      </c>
      <c r="E953" s="110">
        <v>5200</v>
      </c>
      <c r="F953" s="110">
        <v>323.14999999999998</v>
      </c>
      <c r="G953" s="110">
        <v>0.90600893860030307</v>
      </c>
      <c r="H953" s="110">
        <v>1.4089321062599003</v>
      </c>
      <c r="I953" s="110">
        <v>12624.05</v>
      </c>
      <c r="J953" s="110">
        <v>402.01740000000001</v>
      </c>
      <c r="K953" s="110">
        <v>0.93711492636850835</v>
      </c>
      <c r="L953" s="110">
        <v>1.3917454052273612</v>
      </c>
      <c r="M953" s="110"/>
      <c r="N953" s="110"/>
      <c r="O953" s="110"/>
      <c r="P953" s="110">
        <v>32.852679999999999</v>
      </c>
      <c r="Q953" s="110"/>
      <c r="R953" s="110"/>
      <c r="S953" s="110"/>
      <c r="T953" s="110"/>
    </row>
    <row r="954" spans="1:20">
      <c r="A954" s="110" t="s">
        <v>44</v>
      </c>
      <c r="B954" s="110" t="s">
        <v>106</v>
      </c>
      <c r="C954" s="110">
        <v>13335</v>
      </c>
      <c r="D954" s="110">
        <v>20.160979999999999</v>
      </c>
      <c r="E954" s="110">
        <v>5200</v>
      </c>
      <c r="F954" s="110">
        <v>323.14999999999998</v>
      </c>
      <c r="G954" s="110">
        <v>0.90600893860030307</v>
      </c>
      <c r="H954" s="110">
        <v>1.4089321062599003</v>
      </c>
      <c r="I954" s="110">
        <v>12598.83</v>
      </c>
      <c r="J954" s="110">
        <v>401.8449</v>
      </c>
      <c r="K954" s="110">
        <v>0.93679416136386762</v>
      </c>
      <c r="L954" s="110">
        <v>1.3919300421585512</v>
      </c>
      <c r="M954" s="110"/>
      <c r="N954" s="110"/>
      <c r="O954" s="110"/>
      <c r="P954" s="110">
        <v>32.995249999999999</v>
      </c>
      <c r="Q954" s="110"/>
      <c r="R954" s="110"/>
      <c r="S954" s="110"/>
      <c r="T954" s="110"/>
    </row>
    <row r="955" spans="1:20">
      <c r="A955" s="110" t="s">
        <v>44</v>
      </c>
      <c r="B955" s="110" t="s">
        <v>106</v>
      </c>
      <c r="C955" s="110">
        <v>13335</v>
      </c>
      <c r="D955" s="110">
        <v>20.160979999999999</v>
      </c>
      <c r="E955" s="110">
        <v>5200</v>
      </c>
      <c r="F955" s="110">
        <v>323.14999999999998</v>
      </c>
      <c r="G955" s="110">
        <v>0.90600893860030307</v>
      </c>
      <c r="H955" s="110">
        <v>1.4089321062599003</v>
      </c>
      <c r="I955" s="110">
        <v>12257.67</v>
      </c>
      <c r="J955" s="110">
        <v>399.65640000000002</v>
      </c>
      <c r="K955" s="110">
        <v>0.93687130063471835</v>
      </c>
      <c r="L955" s="110">
        <v>1.3886054291320296</v>
      </c>
      <c r="M955" s="110"/>
      <c r="N955" s="110"/>
      <c r="O955" s="110"/>
      <c r="P955" s="110">
        <v>34.679209999999998</v>
      </c>
      <c r="Q955" s="110"/>
      <c r="R955" s="110"/>
      <c r="S955" s="110"/>
      <c r="T955" s="110"/>
    </row>
    <row r="956" spans="1:20">
      <c r="A956" s="110" t="s">
        <v>44</v>
      </c>
      <c r="B956" s="110" t="s">
        <v>106</v>
      </c>
      <c r="C956" s="110">
        <v>13335</v>
      </c>
      <c r="D956" s="110">
        <v>20.160979999999999</v>
      </c>
      <c r="E956" s="110">
        <v>5200</v>
      </c>
      <c r="F956" s="110">
        <v>323.14999999999998</v>
      </c>
      <c r="G956" s="110">
        <v>0.90600893860030307</v>
      </c>
      <c r="H956" s="110">
        <v>1.4089321062599003</v>
      </c>
      <c r="I956" s="110">
        <v>11806.34</v>
      </c>
      <c r="J956" s="110">
        <v>396.89190000000002</v>
      </c>
      <c r="K956" s="110">
        <v>0.93545494920285799</v>
      </c>
      <c r="L956" s="110">
        <v>1.3915134847079991</v>
      </c>
      <c r="M956" s="110"/>
      <c r="N956" s="110"/>
      <c r="O956" s="110"/>
      <c r="P956" s="110">
        <v>36.67492</v>
      </c>
      <c r="Q956" s="110"/>
      <c r="R956" s="110"/>
      <c r="S956" s="110"/>
      <c r="T956" s="110"/>
    </row>
    <row r="957" spans="1:20">
      <c r="A957" s="110" t="s">
        <v>44</v>
      </c>
      <c r="B957" s="110" t="s">
        <v>106</v>
      </c>
      <c r="C957" s="110">
        <v>13335</v>
      </c>
      <c r="D957" s="110">
        <v>20.160979999999999</v>
      </c>
      <c r="E957" s="110">
        <v>5200</v>
      </c>
      <c r="F957" s="110">
        <v>323.14999999999998</v>
      </c>
      <c r="G957" s="110">
        <v>0.90600893860030307</v>
      </c>
      <c r="H957" s="110">
        <v>1.4089321062599003</v>
      </c>
      <c r="I957" s="110">
        <v>11445.099999999999</v>
      </c>
      <c r="J957" s="110">
        <v>394.7851</v>
      </c>
      <c r="K957" s="110">
        <v>0.93253218746382538</v>
      </c>
      <c r="L957" s="110">
        <v>1.3933822883372369</v>
      </c>
      <c r="M957" s="110"/>
      <c r="N957" s="110"/>
      <c r="O957" s="110"/>
      <c r="P957" s="110">
        <v>38.00949</v>
      </c>
      <c r="Q957" s="110"/>
      <c r="R957" s="110"/>
      <c r="S957" s="110"/>
      <c r="T957" s="110"/>
    </row>
    <row r="958" spans="1:20">
      <c r="A958" s="110" t="s">
        <v>44</v>
      </c>
      <c r="B958" s="110" t="s">
        <v>106</v>
      </c>
      <c r="C958" s="110">
        <v>13335</v>
      </c>
      <c r="D958" s="110">
        <v>20.160979999999999</v>
      </c>
      <c r="E958" s="110">
        <v>5200</v>
      </c>
      <c r="F958" s="110">
        <v>323.14999999999998</v>
      </c>
      <c r="G958" s="110">
        <v>0.90600893860030307</v>
      </c>
      <c r="H958" s="110">
        <v>1.4089321062599003</v>
      </c>
      <c r="I958" s="110">
        <v>10838.43</v>
      </c>
      <c r="J958" s="110">
        <v>391.51960000000003</v>
      </c>
      <c r="K958" s="110">
        <v>0.93292286478244157</v>
      </c>
      <c r="L958" s="110">
        <v>1.3854358900598327</v>
      </c>
      <c r="M958" s="110"/>
      <c r="N958" s="110"/>
      <c r="O958" s="110"/>
      <c r="P958" s="110">
        <v>39.75244</v>
      </c>
      <c r="Q958" s="110"/>
      <c r="R958" s="110"/>
      <c r="S958" s="110"/>
      <c r="T958" s="110"/>
    </row>
    <row r="959" spans="1:20">
      <c r="A959" s="110" t="s">
        <v>44</v>
      </c>
      <c r="B959" s="110" t="s">
        <v>106</v>
      </c>
      <c r="C959" s="110">
        <v>13335</v>
      </c>
      <c r="D959" s="110">
        <v>20.160979999999999</v>
      </c>
      <c r="E959" s="110">
        <v>5200</v>
      </c>
      <c r="F959" s="110">
        <v>323.14999999999998</v>
      </c>
      <c r="G959" s="110">
        <v>0.90600893860030307</v>
      </c>
      <c r="H959" s="110">
        <v>1.4089321062599003</v>
      </c>
      <c r="I959" s="110">
        <v>10557.550000000001</v>
      </c>
      <c r="J959" s="110">
        <v>390.1078</v>
      </c>
      <c r="K959" s="110">
        <v>0.93198502342208134</v>
      </c>
      <c r="L959" s="110">
        <v>1.3861743530350923</v>
      </c>
      <c r="M959" s="110"/>
      <c r="N959" s="110"/>
      <c r="O959" s="110"/>
      <c r="P959" s="110">
        <v>40.4129</v>
      </c>
      <c r="Q959" s="110"/>
      <c r="R959" s="110"/>
      <c r="S959" s="110"/>
      <c r="T959" s="110"/>
    </row>
    <row r="960" spans="1:20">
      <c r="A960" s="110" t="s">
        <v>44</v>
      </c>
      <c r="B960" s="110" t="s">
        <v>106</v>
      </c>
      <c r="C960" s="110">
        <v>13335</v>
      </c>
      <c r="D960" s="110">
        <v>20.160979999999999</v>
      </c>
      <c r="E960" s="110">
        <v>5200</v>
      </c>
      <c r="F960" s="110">
        <v>323.14999999999998</v>
      </c>
      <c r="G960" s="110">
        <v>0.90600893860030307</v>
      </c>
      <c r="H960" s="110">
        <v>1.4089321062599003</v>
      </c>
      <c r="I960" s="110">
        <v>9994.978000000001</v>
      </c>
      <c r="J960" s="110">
        <v>387.37900000000002</v>
      </c>
      <c r="K960" s="110">
        <v>0.93117672773277305</v>
      </c>
      <c r="L960" s="110">
        <v>1.3773635236509569</v>
      </c>
      <c r="M960" s="110"/>
      <c r="N960" s="110"/>
      <c r="O960" s="110"/>
      <c r="P960" s="110">
        <v>41.503570000000003</v>
      </c>
      <c r="Q960" s="110"/>
      <c r="R960" s="110"/>
      <c r="S960" s="110"/>
      <c r="T960" s="110"/>
    </row>
    <row r="961" spans="1:20">
      <c r="A961" s="110" t="s">
        <v>44</v>
      </c>
      <c r="B961" s="110" t="s">
        <v>106</v>
      </c>
      <c r="C961" s="110">
        <v>13335</v>
      </c>
      <c r="D961" s="110">
        <v>20.160979999999999</v>
      </c>
      <c r="E961" s="110">
        <v>5200</v>
      </c>
      <c r="F961" s="110">
        <v>323.14999999999998</v>
      </c>
      <c r="G961" s="110">
        <v>0.90600893860030307</v>
      </c>
      <c r="H961" s="110">
        <v>1.4089321062599003</v>
      </c>
      <c r="I961" s="110">
        <v>9709.0300000000007</v>
      </c>
      <c r="J961" s="110">
        <v>386.03199999999998</v>
      </c>
      <c r="K961" s="110">
        <v>0.93174150543962575</v>
      </c>
      <c r="L961" s="110">
        <v>1.3790780533444305</v>
      </c>
      <c r="M961" s="110"/>
      <c r="N961" s="110"/>
      <c r="O961" s="110"/>
      <c r="P961" s="110">
        <v>41.959139999999998</v>
      </c>
      <c r="Q961" s="110"/>
      <c r="R961" s="110"/>
      <c r="S961" s="110"/>
      <c r="T961" s="110"/>
    </row>
    <row r="962" spans="1:20">
      <c r="A962" s="110" t="s">
        <v>44</v>
      </c>
      <c r="B962" s="110" t="s">
        <v>106</v>
      </c>
      <c r="C962" s="110">
        <v>13335</v>
      </c>
      <c r="D962" s="110">
        <v>20.160979999999999</v>
      </c>
      <c r="E962" s="110">
        <v>5200</v>
      </c>
      <c r="F962" s="110">
        <v>323.14999999999998</v>
      </c>
      <c r="G962" s="110">
        <v>0.90600893860030307</v>
      </c>
      <c r="H962" s="110">
        <v>1.4089321062599003</v>
      </c>
      <c r="I962" s="110">
        <v>9186.5519999999997</v>
      </c>
      <c r="J962" s="110">
        <v>383.58330000000001</v>
      </c>
      <c r="K962" s="110">
        <v>0.92985568319913015</v>
      </c>
      <c r="L962" s="110">
        <v>1.3696065134220103</v>
      </c>
      <c r="M962" s="110"/>
      <c r="N962" s="110"/>
      <c r="O962" s="110"/>
      <c r="P962" s="110">
        <v>42.692419999999998</v>
      </c>
      <c r="Q962" s="110"/>
      <c r="R962" s="110"/>
      <c r="S962" s="110"/>
      <c r="T962" s="110"/>
    </row>
    <row r="963" spans="1:20">
      <c r="A963" s="110" t="s">
        <v>44</v>
      </c>
      <c r="B963" s="110" t="s">
        <v>106</v>
      </c>
      <c r="C963" s="110">
        <v>13335</v>
      </c>
      <c r="D963" s="110">
        <v>20.160979999999999</v>
      </c>
      <c r="E963" s="110">
        <v>5200</v>
      </c>
      <c r="F963" s="110">
        <v>323.14999999999998</v>
      </c>
      <c r="G963" s="110">
        <v>0.90600893860030307</v>
      </c>
      <c r="H963" s="110">
        <v>1.4089321062599003</v>
      </c>
      <c r="I963" s="110">
        <v>8892.3419999999987</v>
      </c>
      <c r="J963" s="110">
        <v>382.21199999999999</v>
      </c>
      <c r="K963" s="110">
        <v>0.93198205976144299</v>
      </c>
      <c r="L963" s="110">
        <v>1.3698268146196657</v>
      </c>
      <c r="M963" s="110"/>
      <c r="N963" s="110"/>
      <c r="O963" s="110"/>
      <c r="P963" s="110">
        <v>43.060639999999999</v>
      </c>
      <c r="Q963" s="110"/>
      <c r="R963" s="110"/>
      <c r="S963" s="110"/>
      <c r="T963" s="110"/>
    </row>
    <row r="964" spans="1:20">
      <c r="A964" s="110" t="s">
        <v>44</v>
      </c>
      <c r="B964" s="110" t="s">
        <v>106</v>
      </c>
      <c r="C964" s="110">
        <v>13335</v>
      </c>
      <c r="D964" s="110">
        <v>20.160979999999999</v>
      </c>
      <c r="E964" s="110">
        <v>5200</v>
      </c>
      <c r="F964" s="110">
        <v>323.14999999999998</v>
      </c>
      <c r="G964" s="110">
        <v>0.90600893860030307</v>
      </c>
      <c r="H964" s="110">
        <v>1.4089321062599003</v>
      </c>
      <c r="I964" s="110">
        <v>8337.9169999999995</v>
      </c>
      <c r="J964" s="110">
        <v>379.61180000000002</v>
      </c>
      <c r="K964" s="110">
        <v>0.93029241847083011</v>
      </c>
      <c r="L964" s="110">
        <v>1.3614495172955066</v>
      </c>
      <c r="M964" s="110"/>
      <c r="N964" s="110"/>
      <c r="O964" s="110"/>
      <c r="P964" s="110">
        <v>43.683819999999997</v>
      </c>
      <c r="Q964" s="110"/>
      <c r="R964" s="110"/>
      <c r="S964" s="110"/>
      <c r="T964" s="110"/>
    </row>
    <row r="965" spans="1:20">
      <c r="A965" s="110" t="s">
        <v>44</v>
      </c>
      <c r="B965" s="110" t="s">
        <v>106</v>
      </c>
      <c r="C965" s="110">
        <v>13335</v>
      </c>
      <c r="D965" s="110">
        <v>20.160979999999999</v>
      </c>
      <c r="E965" s="110">
        <v>5200</v>
      </c>
      <c r="F965" s="110">
        <v>323.14999999999998</v>
      </c>
      <c r="G965" s="110">
        <v>0.90600893860030307</v>
      </c>
      <c r="H965" s="110">
        <v>1.4089321062599003</v>
      </c>
      <c r="I965" s="110">
        <v>8039.7679999999991</v>
      </c>
      <c r="J965" s="110">
        <v>378.20080000000002</v>
      </c>
      <c r="K965" s="110">
        <v>0.93319195490198092</v>
      </c>
      <c r="L965" s="110">
        <v>1.3624921329283961</v>
      </c>
      <c r="M965" s="110"/>
      <c r="N965" s="110"/>
      <c r="O965" s="110"/>
      <c r="P965" s="110">
        <v>43.983150000000002</v>
      </c>
      <c r="Q965" s="110"/>
      <c r="R965" s="110"/>
      <c r="S965" s="110"/>
      <c r="T965" s="110"/>
    </row>
    <row r="966" spans="1:20">
      <c r="A966" s="110" t="s">
        <v>44</v>
      </c>
      <c r="B966" s="110" t="s">
        <v>106</v>
      </c>
      <c r="C966" s="110">
        <v>12700</v>
      </c>
      <c r="D966" s="110">
        <v>20.160979999999999</v>
      </c>
      <c r="E966" s="110">
        <v>5200</v>
      </c>
      <c r="F966" s="110">
        <v>323.14999999999998</v>
      </c>
      <c r="G966" s="110">
        <v>0.90600893860030307</v>
      </c>
      <c r="H966" s="110">
        <v>1.4089321062599003</v>
      </c>
      <c r="I966" s="110">
        <v>12632.27</v>
      </c>
      <c r="J966" s="110">
        <v>404.39830000000001</v>
      </c>
      <c r="K966" s="110">
        <v>0.93944649367831889</v>
      </c>
      <c r="L966" s="110">
        <v>1.3886281133063609</v>
      </c>
      <c r="M966" s="110"/>
      <c r="N966" s="110"/>
      <c r="O966" s="110"/>
      <c r="P966" s="110">
        <v>21.842130000000001</v>
      </c>
      <c r="Q966" s="110"/>
      <c r="R966" s="110"/>
      <c r="S966" s="110"/>
      <c r="T966" s="110"/>
    </row>
    <row r="967" spans="1:20">
      <c r="A967" s="110" t="s">
        <v>44</v>
      </c>
      <c r="B967" s="110" t="s">
        <v>106</v>
      </c>
      <c r="C967" s="110">
        <v>12700</v>
      </c>
      <c r="D967" s="110">
        <v>20.160979999999999</v>
      </c>
      <c r="E967" s="110">
        <v>5200</v>
      </c>
      <c r="F967" s="110">
        <v>323.14999999999998</v>
      </c>
      <c r="G967" s="110">
        <v>0.90600893860030307</v>
      </c>
      <c r="H967" s="110">
        <v>1.4089321062599003</v>
      </c>
      <c r="I967" s="110">
        <v>12610.35</v>
      </c>
      <c r="J967" s="110">
        <v>404.07080000000002</v>
      </c>
      <c r="K967" s="110">
        <v>0.93900573599282189</v>
      </c>
      <c r="L967" s="110">
        <v>1.3889633685172014</v>
      </c>
      <c r="M967" s="110"/>
      <c r="N967" s="110"/>
      <c r="O967" s="110"/>
      <c r="P967" s="110">
        <v>22.19509</v>
      </c>
      <c r="Q967" s="110"/>
      <c r="R967" s="110"/>
      <c r="S967" s="110"/>
      <c r="T967" s="110"/>
    </row>
    <row r="968" spans="1:20">
      <c r="A968" s="110" t="s">
        <v>44</v>
      </c>
      <c r="B968" s="110" t="s">
        <v>106</v>
      </c>
      <c r="C968" s="110">
        <v>12700</v>
      </c>
      <c r="D968" s="110">
        <v>20.160979999999999</v>
      </c>
      <c r="E968" s="110">
        <v>5200</v>
      </c>
      <c r="F968" s="110">
        <v>323.14999999999998</v>
      </c>
      <c r="G968" s="110">
        <v>0.90600893860030307</v>
      </c>
      <c r="H968" s="110">
        <v>1.4089321062599003</v>
      </c>
      <c r="I968" s="110">
        <v>12535.13</v>
      </c>
      <c r="J968" s="110">
        <v>403.05950000000001</v>
      </c>
      <c r="K968" s="110">
        <v>0.938107341619974</v>
      </c>
      <c r="L968" s="110">
        <v>1.3833624259741821</v>
      </c>
      <c r="M968" s="110"/>
      <c r="N968" s="110"/>
      <c r="O968" s="110"/>
      <c r="P968" s="110">
        <v>23.253959999999999</v>
      </c>
      <c r="Q968" s="110"/>
      <c r="R968" s="110"/>
      <c r="S968" s="110"/>
      <c r="T968" s="110"/>
    </row>
    <row r="969" spans="1:20">
      <c r="A969" s="110" t="s">
        <v>44</v>
      </c>
      <c r="B969" s="110" t="s">
        <v>106</v>
      </c>
      <c r="C969" s="110">
        <v>12700</v>
      </c>
      <c r="D969" s="110">
        <v>20.160979999999999</v>
      </c>
      <c r="E969" s="110">
        <v>5200</v>
      </c>
      <c r="F969" s="110">
        <v>323.14999999999998</v>
      </c>
      <c r="G969" s="110">
        <v>0.90600893860030307</v>
      </c>
      <c r="H969" s="110">
        <v>1.4089321062599003</v>
      </c>
      <c r="I969" s="110">
        <v>12347.9</v>
      </c>
      <c r="J969" s="110">
        <v>400.91849999999999</v>
      </c>
      <c r="K969" s="110">
        <v>0.93756527101627918</v>
      </c>
      <c r="L969" s="110">
        <v>1.3867395076549738</v>
      </c>
      <c r="M969" s="110"/>
      <c r="N969" s="110"/>
      <c r="O969" s="110"/>
      <c r="P969" s="110">
        <v>25.371700000000001</v>
      </c>
      <c r="Q969" s="110"/>
      <c r="R969" s="110"/>
      <c r="S969" s="110"/>
      <c r="T969" s="110"/>
    </row>
    <row r="970" spans="1:20">
      <c r="A970" s="110" t="s">
        <v>44</v>
      </c>
      <c r="B970" s="110" t="s">
        <v>106</v>
      </c>
      <c r="C970" s="110">
        <v>12700</v>
      </c>
      <c r="D970" s="110">
        <v>20.160979999999999</v>
      </c>
      <c r="E970" s="110">
        <v>5200</v>
      </c>
      <c r="F970" s="110">
        <v>323.14999999999998</v>
      </c>
      <c r="G970" s="110">
        <v>0.90600893860030307</v>
      </c>
      <c r="H970" s="110">
        <v>1.4089321062599003</v>
      </c>
      <c r="I970" s="110">
        <v>11923.04</v>
      </c>
      <c r="J970" s="110">
        <v>397.04950000000002</v>
      </c>
      <c r="K970" s="110">
        <v>0.93550691412649056</v>
      </c>
      <c r="L970" s="110">
        <v>1.3913940931802176</v>
      </c>
      <c r="M970" s="110"/>
      <c r="N970" s="110"/>
      <c r="O970" s="110"/>
      <c r="P970" s="110">
        <v>28.901260000000001</v>
      </c>
      <c r="Q970" s="110"/>
      <c r="R970" s="110"/>
      <c r="S970" s="110"/>
      <c r="T970" s="110"/>
    </row>
    <row r="971" spans="1:20">
      <c r="A971" s="110" t="s">
        <v>44</v>
      </c>
      <c r="B971" s="110" t="s">
        <v>106</v>
      </c>
      <c r="C971" s="110">
        <v>12700</v>
      </c>
      <c r="D971" s="110">
        <v>20.160979999999999</v>
      </c>
      <c r="E971" s="110">
        <v>5200</v>
      </c>
      <c r="F971" s="110">
        <v>323.14999999999998</v>
      </c>
      <c r="G971" s="110">
        <v>0.90600893860030307</v>
      </c>
      <c r="H971" s="110">
        <v>1.4089321062599003</v>
      </c>
      <c r="I971" s="110">
        <v>11793.84</v>
      </c>
      <c r="J971" s="110">
        <v>396.01119999999997</v>
      </c>
      <c r="K971" s="110">
        <v>0.93456278892216249</v>
      </c>
      <c r="L971" s="110">
        <v>1.3925088270518491</v>
      </c>
      <c r="M971" s="110"/>
      <c r="N971" s="110"/>
      <c r="O971" s="110"/>
      <c r="P971" s="110">
        <v>29.80547</v>
      </c>
      <c r="Q971" s="110"/>
      <c r="R971" s="110"/>
      <c r="S971" s="110"/>
      <c r="T971" s="110"/>
    </row>
    <row r="972" spans="1:20">
      <c r="A972" s="110" t="s">
        <v>44</v>
      </c>
      <c r="B972" s="110" t="s">
        <v>106</v>
      </c>
      <c r="C972" s="110">
        <v>12700</v>
      </c>
      <c r="D972" s="110">
        <v>20.160979999999999</v>
      </c>
      <c r="E972" s="110">
        <v>5200</v>
      </c>
      <c r="F972" s="110">
        <v>323.14999999999998</v>
      </c>
      <c r="G972" s="110">
        <v>0.90600893860030307</v>
      </c>
      <c r="H972" s="110">
        <v>1.4089321062599003</v>
      </c>
      <c r="I972" s="110">
        <v>11764.310000000001</v>
      </c>
      <c r="J972" s="110">
        <v>395.78129999999999</v>
      </c>
      <c r="K972" s="110">
        <v>0.93432448786281885</v>
      </c>
      <c r="L972" s="110">
        <v>1.3927557986421901</v>
      </c>
      <c r="M972" s="110"/>
      <c r="N972" s="110"/>
      <c r="O972" s="110"/>
      <c r="P972" s="110">
        <v>30</v>
      </c>
      <c r="Q972" s="110"/>
      <c r="R972" s="110"/>
      <c r="S972" s="110"/>
      <c r="T972" s="110"/>
    </row>
    <row r="973" spans="1:20">
      <c r="A973" s="110" t="s">
        <v>44</v>
      </c>
      <c r="B973" s="110" t="s">
        <v>106</v>
      </c>
      <c r="C973" s="110">
        <v>12700</v>
      </c>
      <c r="D973" s="110">
        <v>20.160979999999999</v>
      </c>
      <c r="E973" s="110">
        <v>5200</v>
      </c>
      <c r="F973" s="110">
        <v>323.14999999999998</v>
      </c>
      <c r="G973" s="110">
        <v>0.90600893860030307</v>
      </c>
      <c r="H973" s="110">
        <v>1.4089321062599003</v>
      </c>
      <c r="I973" s="110">
        <v>11732.17</v>
      </c>
      <c r="J973" s="110">
        <v>395.53300000000002</v>
      </c>
      <c r="K973" s="110">
        <v>0.93405436915121454</v>
      </c>
      <c r="L973" s="110">
        <v>1.3930228161949296</v>
      </c>
      <c r="M973" s="110"/>
      <c r="N973" s="110"/>
      <c r="O973" s="110"/>
      <c r="P973" s="110">
        <v>30.20852</v>
      </c>
      <c r="Q973" s="110"/>
      <c r="R973" s="110"/>
      <c r="S973" s="110"/>
      <c r="T973" s="110"/>
    </row>
    <row r="974" spans="1:20">
      <c r="A974" s="110" t="s">
        <v>44</v>
      </c>
      <c r="B974" s="110" t="s">
        <v>106</v>
      </c>
      <c r="C974" s="110">
        <v>12700</v>
      </c>
      <c r="D974" s="110">
        <v>20.160979999999999</v>
      </c>
      <c r="E974" s="110">
        <v>5200</v>
      </c>
      <c r="F974" s="110">
        <v>323.14999999999998</v>
      </c>
      <c r="G974" s="110">
        <v>0.90600893860030307</v>
      </c>
      <c r="H974" s="110">
        <v>1.4089321062599003</v>
      </c>
      <c r="I974" s="110">
        <v>11434.91</v>
      </c>
      <c r="J974" s="110">
        <v>393.36810000000003</v>
      </c>
      <c r="K974" s="110">
        <v>0.93106186495392884</v>
      </c>
      <c r="L974" s="110">
        <v>1.3953739181991549</v>
      </c>
      <c r="M974" s="110"/>
      <c r="N974" s="110"/>
      <c r="O974" s="110"/>
      <c r="P974" s="110">
        <v>31.922000000000001</v>
      </c>
      <c r="Q974" s="110"/>
      <c r="R974" s="110"/>
      <c r="S974" s="110"/>
      <c r="T974" s="110"/>
    </row>
    <row r="975" spans="1:20">
      <c r="A975" s="110" t="s">
        <v>44</v>
      </c>
      <c r="B975" s="110" t="s">
        <v>106</v>
      </c>
      <c r="C975" s="110">
        <v>12700</v>
      </c>
      <c r="D975" s="110">
        <v>20.160979999999999</v>
      </c>
      <c r="E975" s="110">
        <v>5200</v>
      </c>
      <c r="F975" s="110">
        <v>323.14999999999998</v>
      </c>
      <c r="G975" s="110">
        <v>0.90600893860030307</v>
      </c>
      <c r="H975" s="110">
        <v>1.4089321062599003</v>
      </c>
      <c r="I975" s="110">
        <v>11296.33</v>
      </c>
      <c r="J975" s="110">
        <v>392.40899999999999</v>
      </c>
      <c r="K975" s="110">
        <v>0.93021135857764914</v>
      </c>
      <c r="L975" s="110">
        <v>1.3876943076104473</v>
      </c>
      <c r="M975" s="110"/>
      <c r="N975" s="110"/>
      <c r="O975" s="110"/>
      <c r="P975" s="110">
        <v>32.637259999999998</v>
      </c>
      <c r="Q975" s="110"/>
      <c r="R975" s="110"/>
      <c r="S975" s="110"/>
      <c r="T975" s="110"/>
    </row>
    <row r="976" spans="1:20">
      <c r="A976" s="110" t="s">
        <v>44</v>
      </c>
      <c r="B976" s="110" t="s">
        <v>106</v>
      </c>
      <c r="C976" s="110">
        <v>12700</v>
      </c>
      <c r="D976" s="110">
        <v>20.160979999999999</v>
      </c>
      <c r="E976" s="110">
        <v>5200</v>
      </c>
      <c r="F976" s="110">
        <v>323.14999999999998</v>
      </c>
      <c r="G976" s="110">
        <v>0.90600893860030307</v>
      </c>
      <c r="H976" s="110">
        <v>1.4089321062599003</v>
      </c>
      <c r="I976" s="110">
        <v>10876.730000000001</v>
      </c>
      <c r="J976" s="110">
        <v>389.68650000000002</v>
      </c>
      <c r="K976" s="110">
        <v>0.93085114949898518</v>
      </c>
      <c r="L976" s="110">
        <v>1.3903784154140981</v>
      </c>
      <c r="M976" s="110"/>
      <c r="N976" s="110"/>
      <c r="O976" s="110"/>
      <c r="P976" s="110">
        <v>34.564500000000002</v>
      </c>
      <c r="Q976" s="110"/>
      <c r="R976" s="110"/>
      <c r="S976" s="110"/>
      <c r="T976" s="110"/>
    </row>
    <row r="977" spans="1:20">
      <c r="A977" s="110" t="s">
        <v>44</v>
      </c>
      <c r="B977" s="110" t="s">
        <v>106</v>
      </c>
      <c r="C977" s="110">
        <v>12700</v>
      </c>
      <c r="D977" s="110">
        <v>20.160979999999999</v>
      </c>
      <c r="E977" s="110">
        <v>5200</v>
      </c>
      <c r="F977" s="110">
        <v>323.14999999999998</v>
      </c>
      <c r="G977" s="110">
        <v>0.90600893860030307</v>
      </c>
      <c r="H977" s="110">
        <v>1.4089321062599003</v>
      </c>
      <c r="I977" s="110">
        <v>10633.18</v>
      </c>
      <c r="J977" s="110">
        <v>388.22109999999998</v>
      </c>
      <c r="K977" s="110">
        <v>0.93000100150285392</v>
      </c>
      <c r="L977" s="110">
        <v>1.3917669953395404</v>
      </c>
      <c r="M977" s="110"/>
      <c r="N977" s="110"/>
      <c r="O977" s="110"/>
      <c r="P977" s="110">
        <v>35.50432</v>
      </c>
      <c r="Q977" s="110"/>
      <c r="R977" s="110"/>
      <c r="S977" s="110"/>
      <c r="T977" s="110"/>
    </row>
    <row r="978" spans="1:20">
      <c r="A978" s="110" t="s">
        <v>44</v>
      </c>
      <c r="B978" s="110" t="s">
        <v>106</v>
      </c>
      <c r="C978" s="110">
        <v>12700</v>
      </c>
      <c r="D978" s="110">
        <v>20.160979999999999</v>
      </c>
      <c r="E978" s="110">
        <v>5200</v>
      </c>
      <c r="F978" s="110">
        <v>323.14999999999998</v>
      </c>
      <c r="G978" s="110">
        <v>0.90600893860030307</v>
      </c>
      <c r="H978" s="110">
        <v>1.4089321062599003</v>
      </c>
      <c r="I978" s="110">
        <v>10130.82</v>
      </c>
      <c r="J978" s="110">
        <v>385.42970000000003</v>
      </c>
      <c r="K978" s="110">
        <v>0.92769616721285864</v>
      </c>
      <c r="L978" s="110">
        <v>1.3823505165865548</v>
      </c>
      <c r="M978" s="110"/>
      <c r="N978" s="110"/>
      <c r="O978" s="110"/>
      <c r="P978" s="110">
        <v>37.039859999999997</v>
      </c>
      <c r="Q978" s="110"/>
      <c r="R978" s="110"/>
      <c r="S978" s="110"/>
      <c r="T978" s="110"/>
    </row>
    <row r="979" spans="1:20">
      <c r="A979" s="110" t="s">
        <v>44</v>
      </c>
      <c r="B979" s="110" t="s">
        <v>106</v>
      </c>
      <c r="C979" s="110">
        <v>12700</v>
      </c>
      <c r="D979" s="110">
        <v>20.160979999999999</v>
      </c>
      <c r="E979" s="110">
        <v>5200</v>
      </c>
      <c r="F979" s="110">
        <v>323.14999999999998</v>
      </c>
      <c r="G979" s="110">
        <v>0.90600893860030307</v>
      </c>
      <c r="H979" s="110">
        <v>1.4089321062599003</v>
      </c>
      <c r="I979" s="110">
        <v>9895.5600000000013</v>
      </c>
      <c r="J979" s="110">
        <v>384.19040000000001</v>
      </c>
      <c r="K979" s="110">
        <v>0.92881739998531265</v>
      </c>
      <c r="L979" s="110">
        <v>1.3829947506846723</v>
      </c>
      <c r="M979" s="110"/>
      <c r="N979" s="110"/>
      <c r="O979" s="110"/>
      <c r="P979" s="110">
        <v>37.626820000000002</v>
      </c>
      <c r="Q979" s="110"/>
      <c r="R979" s="110"/>
      <c r="S979" s="110"/>
      <c r="T979" s="110"/>
    </row>
    <row r="980" spans="1:20">
      <c r="A980" s="110" t="s">
        <v>44</v>
      </c>
      <c r="B980" s="110" t="s">
        <v>106</v>
      </c>
      <c r="C980" s="110">
        <v>12700</v>
      </c>
      <c r="D980" s="110">
        <v>20.160979999999999</v>
      </c>
      <c r="E980" s="110">
        <v>5200</v>
      </c>
      <c r="F980" s="110">
        <v>323.14999999999998</v>
      </c>
      <c r="G980" s="110">
        <v>0.90600893860030307</v>
      </c>
      <c r="H980" s="110">
        <v>1.4089321062599003</v>
      </c>
      <c r="I980" s="110">
        <v>9437.8209999999999</v>
      </c>
      <c r="J980" s="110">
        <v>381.83920000000001</v>
      </c>
      <c r="K980" s="110">
        <v>0.92791791445717664</v>
      </c>
      <c r="L980" s="110">
        <v>1.3839801559306855</v>
      </c>
      <c r="M980" s="110"/>
      <c r="N980" s="110"/>
      <c r="O980" s="110"/>
      <c r="P980" s="110">
        <v>38.625279999999997</v>
      </c>
      <c r="Q980" s="110"/>
      <c r="R980" s="110"/>
      <c r="S980" s="110"/>
      <c r="T980" s="110"/>
    </row>
    <row r="981" spans="1:20">
      <c r="A981" s="110" t="s">
        <v>44</v>
      </c>
      <c r="B981" s="110" t="s">
        <v>106</v>
      </c>
      <c r="C981" s="110">
        <v>12700</v>
      </c>
      <c r="D981" s="110">
        <v>20.160979999999999</v>
      </c>
      <c r="E981" s="110">
        <v>5200</v>
      </c>
      <c r="F981" s="110">
        <v>323.14999999999998</v>
      </c>
      <c r="G981" s="110">
        <v>0.90600893860030307</v>
      </c>
      <c r="H981" s="110">
        <v>1.4089321062599003</v>
      </c>
      <c r="I981" s="110">
        <v>9190.134</v>
      </c>
      <c r="J981" s="110">
        <v>380.57159999999999</v>
      </c>
      <c r="K981" s="110">
        <v>0.92689494680443718</v>
      </c>
      <c r="L981" s="110">
        <v>1.3764219414748879</v>
      </c>
      <c r="M981" s="110"/>
      <c r="N981" s="110"/>
      <c r="O981" s="110"/>
      <c r="P981" s="110">
        <v>39.116979999999998</v>
      </c>
      <c r="Q981" s="110"/>
      <c r="R981" s="110"/>
      <c r="S981" s="110"/>
      <c r="T981" s="110"/>
    </row>
    <row r="982" spans="1:20">
      <c r="A982" s="110" t="s">
        <v>44</v>
      </c>
      <c r="B982" s="110" t="s">
        <v>106</v>
      </c>
      <c r="C982" s="110">
        <v>12700</v>
      </c>
      <c r="D982" s="110">
        <v>20.160979999999999</v>
      </c>
      <c r="E982" s="110">
        <v>5200</v>
      </c>
      <c r="F982" s="110">
        <v>323.14999999999998</v>
      </c>
      <c r="G982" s="110">
        <v>0.90600893860030307</v>
      </c>
      <c r="H982" s="110">
        <v>1.4089321062599003</v>
      </c>
      <c r="I982" s="110">
        <v>8679.9499999999989</v>
      </c>
      <c r="J982" s="110">
        <v>378.00659999999999</v>
      </c>
      <c r="K982" s="110">
        <v>0.92904952596817969</v>
      </c>
      <c r="L982" s="110">
        <v>1.3776704160494635</v>
      </c>
      <c r="M982" s="110"/>
      <c r="N982" s="110"/>
      <c r="O982" s="110"/>
      <c r="P982" s="110">
        <v>40.005130000000001</v>
      </c>
      <c r="Q982" s="110"/>
      <c r="R982" s="110"/>
      <c r="S982" s="110"/>
      <c r="T982" s="110"/>
    </row>
    <row r="983" spans="1:20">
      <c r="A983" s="110" t="s">
        <v>44</v>
      </c>
      <c r="B983" s="110" t="s">
        <v>106</v>
      </c>
      <c r="C983" s="110">
        <v>12700</v>
      </c>
      <c r="D983" s="110">
        <v>20.160979999999999</v>
      </c>
      <c r="E983" s="110">
        <v>5200</v>
      </c>
      <c r="F983" s="110">
        <v>323.14999999999998</v>
      </c>
      <c r="G983" s="110">
        <v>0.90600893860030307</v>
      </c>
      <c r="H983" s="110">
        <v>1.4089321062599003</v>
      </c>
      <c r="I983" s="110">
        <v>8405.7060000000001</v>
      </c>
      <c r="J983" s="110">
        <v>376.66750000000002</v>
      </c>
      <c r="K983" s="110">
        <v>0.92759855415606396</v>
      </c>
      <c r="L983" s="110">
        <v>1.3783422473792017</v>
      </c>
      <c r="M983" s="110"/>
      <c r="N983" s="110"/>
      <c r="O983" s="110"/>
      <c r="P983" s="110">
        <v>40.389629999999997</v>
      </c>
      <c r="Q983" s="110"/>
      <c r="R983" s="110"/>
      <c r="S983" s="110"/>
      <c r="T983" s="110"/>
    </row>
    <row r="984" spans="1:20">
      <c r="A984" s="110" t="s">
        <v>44</v>
      </c>
      <c r="B984" s="110" t="s">
        <v>106</v>
      </c>
      <c r="C984" s="110">
        <v>12700</v>
      </c>
      <c r="D984" s="110">
        <v>20.160979999999999</v>
      </c>
      <c r="E984" s="110">
        <v>5200</v>
      </c>
      <c r="F984" s="110">
        <v>323.14999999999998</v>
      </c>
      <c r="G984" s="110">
        <v>0.90600893860030307</v>
      </c>
      <c r="H984" s="110">
        <v>1.4089321062599003</v>
      </c>
      <c r="I984" s="110">
        <v>7952.563000000001</v>
      </c>
      <c r="J984" s="110">
        <v>374.43979999999999</v>
      </c>
      <c r="K984" s="110">
        <v>0.93037425376284244</v>
      </c>
      <c r="L984" s="110">
        <v>1.3675394924499551</v>
      </c>
      <c r="M984" s="110"/>
      <c r="N984" s="110"/>
      <c r="O984" s="110"/>
      <c r="P984" s="110">
        <v>40.946330000000003</v>
      </c>
      <c r="Q984" s="110"/>
      <c r="R984" s="110"/>
      <c r="S984" s="110"/>
      <c r="T984" s="110"/>
    </row>
    <row r="985" spans="1:20">
      <c r="A985" s="110" t="s">
        <v>44</v>
      </c>
      <c r="B985" s="110" t="s">
        <v>106</v>
      </c>
      <c r="C985" s="110">
        <v>12065</v>
      </c>
      <c r="D985" s="110">
        <v>20.160979999999999</v>
      </c>
      <c r="E985" s="110">
        <v>5200</v>
      </c>
      <c r="F985" s="110">
        <v>323.14999999999998</v>
      </c>
      <c r="G985" s="110">
        <v>0.90600893860030307</v>
      </c>
      <c r="H985" s="110">
        <v>1.4089321062599003</v>
      </c>
      <c r="I985" s="110">
        <v>11674.19</v>
      </c>
      <c r="J985" s="110">
        <v>397.31869999999998</v>
      </c>
      <c r="K985" s="110">
        <v>0.93578509200997684</v>
      </c>
      <c r="L985" s="110">
        <v>1.3893622486531798</v>
      </c>
      <c r="M985" s="110"/>
      <c r="N985" s="110"/>
      <c r="O985" s="110"/>
      <c r="P985" s="110">
        <v>20.11243</v>
      </c>
      <c r="Q985" s="110"/>
      <c r="R985" s="110"/>
      <c r="S985" s="110"/>
      <c r="T985" s="110"/>
    </row>
    <row r="986" spans="1:20">
      <c r="A986" s="110" t="s">
        <v>44</v>
      </c>
      <c r="B986" s="110" t="s">
        <v>106</v>
      </c>
      <c r="C986" s="110">
        <v>12065</v>
      </c>
      <c r="D986" s="110">
        <v>20.160979999999999</v>
      </c>
      <c r="E986" s="110">
        <v>5200</v>
      </c>
      <c r="F986" s="110">
        <v>323.14999999999998</v>
      </c>
      <c r="G986" s="110">
        <v>0.90600893860030307</v>
      </c>
      <c r="H986" s="110">
        <v>1.4089321062599003</v>
      </c>
      <c r="I986" s="110">
        <v>11641.77</v>
      </c>
      <c r="J986" s="110">
        <v>396.82</v>
      </c>
      <c r="K986" s="110">
        <v>0.93522479971199068</v>
      </c>
      <c r="L986" s="110">
        <v>1.3902711806224155</v>
      </c>
      <c r="M986" s="110"/>
      <c r="N986" s="110"/>
      <c r="O986" s="110"/>
      <c r="P986" s="110">
        <v>20.63862</v>
      </c>
      <c r="Q986" s="110"/>
      <c r="R986" s="110"/>
      <c r="S986" s="110"/>
      <c r="T986" s="110"/>
    </row>
    <row r="987" spans="1:20">
      <c r="A987" s="110" t="s">
        <v>44</v>
      </c>
      <c r="B987" s="110" t="s">
        <v>106</v>
      </c>
      <c r="C987" s="110">
        <v>12065</v>
      </c>
      <c r="D987" s="110">
        <v>20.160979999999999</v>
      </c>
      <c r="E987" s="110">
        <v>5200</v>
      </c>
      <c r="F987" s="110">
        <v>323.14999999999998</v>
      </c>
      <c r="G987" s="110">
        <v>0.90600893860030307</v>
      </c>
      <c r="H987" s="110">
        <v>1.4089321062599003</v>
      </c>
      <c r="I987" s="110">
        <v>11595.41</v>
      </c>
      <c r="J987" s="110">
        <v>396.16059999999999</v>
      </c>
      <c r="K987" s="110">
        <v>0.93445416290600392</v>
      </c>
      <c r="L987" s="110">
        <v>1.3914400965522491</v>
      </c>
      <c r="M987" s="110"/>
      <c r="N987" s="110"/>
      <c r="O987" s="110"/>
      <c r="P987" s="110">
        <v>21.318770000000001</v>
      </c>
      <c r="Q987" s="110"/>
      <c r="R987" s="110"/>
      <c r="S987" s="110"/>
      <c r="T987" s="110"/>
    </row>
    <row r="988" spans="1:20">
      <c r="A988" s="110" t="s">
        <v>44</v>
      </c>
      <c r="B988" s="110" t="s">
        <v>106</v>
      </c>
      <c r="C988" s="110">
        <v>12065</v>
      </c>
      <c r="D988" s="110">
        <v>20.160979999999999</v>
      </c>
      <c r="E988" s="110">
        <v>5200</v>
      </c>
      <c r="F988" s="110">
        <v>323.14999999999998</v>
      </c>
      <c r="G988" s="110">
        <v>0.90600893860030307</v>
      </c>
      <c r="H988" s="110">
        <v>1.4089321062599003</v>
      </c>
      <c r="I988" s="110">
        <v>11484.08</v>
      </c>
      <c r="J988" s="110">
        <v>394.72190000000001</v>
      </c>
      <c r="K988" s="110">
        <v>0.93263715053111262</v>
      </c>
      <c r="L988" s="110">
        <v>1.3938588279890329</v>
      </c>
      <c r="M988" s="110"/>
      <c r="N988" s="110"/>
      <c r="O988" s="110"/>
      <c r="P988" s="110">
        <v>22.744810000000001</v>
      </c>
      <c r="Q988" s="110"/>
      <c r="R988" s="110"/>
      <c r="S988" s="110"/>
      <c r="T988" s="110"/>
    </row>
    <row r="989" spans="1:20">
      <c r="A989" s="110" t="s">
        <v>44</v>
      </c>
      <c r="B989" s="110" t="s">
        <v>106</v>
      </c>
      <c r="C989" s="110">
        <v>12065</v>
      </c>
      <c r="D989" s="110">
        <v>20.160979999999999</v>
      </c>
      <c r="E989" s="110">
        <v>5200</v>
      </c>
      <c r="F989" s="110">
        <v>323.14999999999998</v>
      </c>
      <c r="G989" s="110">
        <v>0.90600893860030307</v>
      </c>
      <c r="H989" s="110">
        <v>1.4089321062599003</v>
      </c>
      <c r="I989" s="110">
        <v>11459.63</v>
      </c>
      <c r="J989" s="110">
        <v>394.43150000000003</v>
      </c>
      <c r="K989" s="110">
        <v>0.9322426836450407</v>
      </c>
      <c r="L989" s="110">
        <v>1.3941798263172982</v>
      </c>
      <c r="M989" s="110"/>
      <c r="N989" s="110"/>
      <c r="O989" s="110"/>
      <c r="P989" s="110">
        <v>23.014230000000001</v>
      </c>
      <c r="Q989" s="110"/>
      <c r="R989" s="110"/>
      <c r="S989" s="110"/>
      <c r="T989" s="110"/>
    </row>
    <row r="990" spans="1:20">
      <c r="A990" s="110" t="s">
        <v>44</v>
      </c>
      <c r="B990" s="110" t="s">
        <v>106</v>
      </c>
      <c r="C990" s="110">
        <v>12065</v>
      </c>
      <c r="D990" s="110">
        <v>20.160979999999999</v>
      </c>
      <c r="E990" s="110">
        <v>5200</v>
      </c>
      <c r="F990" s="110">
        <v>323.14999999999998</v>
      </c>
      <c r="G990" s="110">
        <v>0.90600893860030307</v>
      </c>
      <c r="H990" s="110">
        <v>1.4089321062599003</v>
      </c>
      <c r="I990" s="110">
        <v>11319.35</v>
      </c>
      <c r="J990" s="110">
        <v>392.84949999999998</v>
      </c>
      <c r="K990" s="110">
        <v>0.9303817211411235</v>
      </c>
      <c r="L990" s="110">
        <v>1.386857617655435</v>
      </c>
      <c r="M990" s="110"/>
      <c r="N990" s="110"/>
      <c r="O990" s="110"/>
      <c r="P990" s="110">
        <v>24.465129999999998</v>
      </c>
      <c r="Q990" s="110"/>
      <c r="R990" s="110"/>
      <c r="S990" s="110"/>
      <c r="T990" s="110"/>
    </row>
    <row r="991" spans="1:20">
      <c r="A991" s="110" t="s">
        <v>44</v>
      </c>
      <c r="B991" s="110" t="s">
        <v>106</v>
      </c>
      <c r="C991" s="110">
        <v>12065</v>
      </c>
      <c r="D991" s="110">
        <v>20.160979999999999</v>
      </c>
      <c r="E991" s="110">
        <v>5200</v>
      </c>
      <c r="F991" s="110">
        <v>323.14999999999998</v>
      </c>
      <c r="G991" s="110">
        <v>0.90600893860030307</v>
      </c>
      <c r="H991" s="110">
        <v>1.4089321062599003</v>
      </c>
      <c r="I991" s="110">
        <v>11270.96</v>
      </c>
      <c r="J991" s="110">
        <v>392.34230000000002</v>
      </c>
      <c r="K991" s="110">
        <v>0.93043407680445245</v>
      </c>
      <c r="L991" s="110">
        <v>1.3876182366947973</v>
      </c>
      <c r="M991" s="110"/>
      <c r="N991" s="110"/>
      <c r="O991" s="110"/>
      <c r="P991" s="110">
        <v>24.918530000000001</v>
      </c>
      <c r="Q991" s="110"/>
      <c r="R991" s="110"/>
      <c r="S991" s="110"/>
      <c r="T991" s="110"/>
    </row>
    <row r="992" spans="1:20">
      <c r="A992" s="110" t="s">
        <v>44</v>
      </c>
      <c r="B992" s="110" t="s">
        <v>106</v>
      </c>
      <c r="C992" s="110">
        <v>12065</v>
      </c>
      <c r="D992" s="110">
        <v>20.160979999999999</v>
      </c>
      <c r="E992" s="110">
        <v>5200</v>
      </c>
      <c r="F992" s="110">
        <v>323.14999999999998</v>
      </c>
      <c r="G992" s="110">
        <v>0.90600893860030307</v>
      </c>
      <c r="H992" s="110">
        <v>1.4089321062599003</v>
      </c>
      <c r="I992" s="110">
        <v>11162.51</v>
      </c>
      <c r="J992" s="110">
        <v>391.25290000000001</v>
      </c>
      <c r="K992" s="110">
        <v>0.93046438809939591</v>
      </c>
      <c r="L992" s="110">
        <v>1.3892062837363146</v>
      </c>
      <c r="M992" s="110"/>
      <c r="N992" s="110"/>
      <c r="O992" s="110"/>
      <c r="P992" s="110">
        <v>25.925219999999999</v>
      </c>
      <c r="Q992" s="110"/>
      <c r="R992" s="110"/>
      <c r="S992" s="110"/>
      <c r="T992" s="110"/>
    </row>
    <row r="993" spans="1:20">
      <c r="A993" s="110" t="s">
        <v>44</v>
      </c>
      <c r="B993" s="110" t="s">
        <v>106</v>
      </c>
      <c r="C993" s="110">
        <v>12065</v>
      </c>
      <c r="D993" s="110">
        <v>20.160979999999999</v>
      </c>
      <c r="E993" s="110">
        <v>5200</v>
      </c>
      <c r="F993" s="110">
        <v>323.14999999999998</v>
      </c>
      <c r="G993" s="110">
        <v>0.90600893860030307</v>
      </c>
      <c r="H993" s="110">
        <v>1.4089321062599003</v>
      </c>
      <c r="I993" s="110">
        <v>10916.800000000001</v>
      </c>
      <c r="J993" s="110">
        <v>389.11529999999999</v>
      </c>
      <c r="K993" s="110">
        <v>0.93003489158784813</v>
      </c>
      <c r="L993" s="110">
        <v>1.3921924439360349</v>
      </c>
      <c r="M993" s="110"/>
      <c r="N993" s="110"/>
      <c r="O993" s="110"/>
      <c r="P993" s="110">
        <v>27.80444</v>
      </c>
      <c r="Q993" s="110"/>
      <c r="R993" s="110"/>
      <c r="S993" s="110"/>
      <c r="T993" s="110"/>
    </row>
    <row r="994" spans="1:20">
      <c r="A994" s="110" t="s">
        <v>44</v>
      </c>
      <c r="B994" s="110" t="s">
        <v>106</v>
      </c>
      <c r="C994" s="110">
        <v>12065</v>
      </c>
      <c r="D994" s="110">
        <v>20.160979999999999</v>
      </c>
      <c r="E994" s="110">
        <v>5200</v>
      </c>
      <c r="F994" s="110">
        <v>323.14999999999998</v>
      </c>
      <c r="G994" s="110">
        <v>0.90600893860030307</v>
      </c>
      <c r="H994" s="110">
        <v>1.4089321062599003</v>
      </c>
      <c r="I994" s="110">
        <v>10812.730000000001</v>
      </c>
      <c r="J994" s="110">
        <v>388.2919</v>
      </c>
      <c r="K994" s="110">
        <v>0.92964721577996223</v>
      </c>
      <c r="L994" s="110">
        <v>1.3932922047632734</v>
      </c>
      <c r="M994" s="110"/>
      <c r="N994" s="110"/>
      <c r="O994" s="110"/>
      <c r="P994" s="110">
        <v>28.486799999999999</v>
      </c>
      <c r="Q994" s="110"/>
      <c r="R994" s="110"/>
      <c r="S994" s="110"/>
      <c r="T994" s="110"/>
    </row>
    <row r="995" spans="1:20">
      <c r="A995" s="110" t="s">
        <v>44</v>
      </c>
      <c r="B995" s="110" t="s">
        <v>106</v>
      </c>
      <c r="C995" s="110">
        <v>12065</v>
      </c>
      <c r="D995" s="110">
        <v>20.160979999999999</v>
      </c>
      <c r="E995" s="110">
        <v>5200</v>
      </c>
      <c r="F995" s="110">
        <v>323.14999999999998</v>
      </c>
      <c r="G995" s="110">
        <v>0.90600893860030307</v>
      </c>
      <c r="H995" s="110">
        <v>1.4089321062599003</v>
      </c>
      <c r="I995" s="110">
        <v>10609.74</v>
      </c>
      <c r="J995" s="110">
        <v>386.77350000000001</v>
      </c>
      <c r="K995" s="110">
        <v>0.92849213878494463</v>
      </c>
      <c r="L995" s="110">
        <v>1.3952503340769347</v>
      </c>
      <c r="M995" s="110"/>
      <c r="N995" s="110"/>
      <c r="O995" s="110"/>
      <c r="P995" s="110">
        <v>29.69791</v>
      </c>
      <c r="Q995" s="110"/>
      <c r="R995" s="110"/>
      <c r="S995" s="110"/>
      <c r="T995" s="110"/>
    </row>
    <row r="996" spans="1:20">
      <c r="A996" s="110" t="s">
        <v>44</v>
      </c>
      <c r="B996" s="110" t="s">
        <v>106</v>
      </c>
      <c r="C996" s="110">
        <v>12065</v>
      </c>
      <c r="D996" s="110">
        <v>20.160979999999999</v>
      </c>
      <c r="E996" s="110">
        <v>5200</v>
      </c>
      <c r="F996" s="110">
        <v>323.14999999999998</v>
      </c>
      <c r="G996" s="110">
        <v>0.90600893860030307</v>
      </c>
      <c r="H996" s="110">
        <v>1.4089321062599003</v>
      </c>
      <c r="I996" s="110">
        <v>10494.32</v>
      </c>
      <c r="J996" s="110">
        <v>385.95209999999997</v>
      </c>
      <c r="K996" s="110">
        <v>0.92758954358145684</v>
      </c>
      <c r="L996" s="110">
        <v>1.3962688414330398</v>
      </c>
      <c r="M996" s="110"/>
      <c r="N996" s="110"/>
      <c r="O996" s="110"/>
      <c r="P996" s="110">
        <v>30.313770000000002</v>
      </c>
      <c r="Q996" s="110"/>
      <c r="R996" s="110"/>
      <c r="S996" s="110"/>
      <c r="T996" s="110"/>
    </row>
    <row r="997" spans="1:20">
      <c r="A997" s="110" t="s">
        <v>44</v>
      </c>
      <c r="B997" s="110" t="s">
        <v>106</v>
      </c>
      <c r="C997" s="110">
        <v>12065</v>
      </c>
      <c r="D997" s="110">
        <v>20.160979999999999</v>
      </c>
      <c r="E997" s="110">
        <v>5200</v>
      </c>
      <c r="F997" s="110">
        <v>323.14999999999998</v>
      </c>
      <c r="G997" s="110">
        <v>0.90600893860030307</v>
      </c>
      <c r="H997" s="110">
        <v>1.4089321062599003</v>
      </c>
      <c r="I997" s="110">
        <v>10148.73</v>
      </c>
      <c r="J997" s="110">
        <v>383.61160000000001</v>
      </c>
      <c r="K997" s="110">
        <v>0.92558939878371704</v>
      </c>
      <c r="L997" s="110">
        <v>1.3871607690429997</v>
      </c>
      <c r="M997" s="110"/>
      <c r="N997" s="110"/>
      <c r="O997" s="110"/>
      <c r="P997" s="110">
        <v>31.97092</v>
      </c>
      <c r="Q997" s="110"/>
      <c r="R997" s="110"/>
      <c r="S997" s="110"/>
      <c r="T997" s="110"/>
    </row>
    <row r="998" spans="1:20">
      <c r="A998" s="110" t="s">
        <v>44</v>
      </c>
      <c r="B998" s="110" t="s">
        <v>106</v>
      </c>
      <c r="C998" s="110">
        <v>12065</v>
      </c>
      <c r="D998" s="110">
        <v>20.160979999999999</v>
      </c>
      <c r="E998" s="110">
        <v>5200</v>
      </c>
      <c r="F998" s="110">
        <v>323.14999999999998</v>
      </c>
      <c r="G998" s="110">
        <v>0.90600893860030307</v>
      </c>
      <c r="H998" s="110">
        <v>1.4089321062599003</v>
      </c>
      <c r="I998" s="110">
        <v>9940.8979999999992</v>
      </c>
      <c r="J998" s="110">
        <v>382.27429999999998</v>
      </c>
      <c r="K998" s="110">
        <v>0.92648283403313458</v>
      </c>
      <c r="L998" s="110">
        <v>1.3883878102552021</v>
      </c>
      <c r="M998" s="110"/>
      <c r="N998" s="110"/>
      <c r="O998" s="110"/>
      <c r="P998" s="110">
        <v>32.838940000000001</v>
      </c>
      <c r="Q998" s="110"/>
      <c r="R998" s="110"/>
      <c r="S998" s="110"/>
      <c r="T998" s="110"/>
    </row>
    <row r="999" spans="1:20">
      <c r="A999" s="110" t="s">
        <v>44</v>
      </c>
      <c r="B999" s="110" t="s">
        <v>106</v>
      </c>
      <c r="C999" s="110">
        <v>12065</v>
      </c>
      <c r="D999" s="110">
        <v>20.160979999999999</v>
      </c>
      <c r="E999" s="110">
        <v>5200</v>
      </c>
      <c r="F999" s="110">
        <v>323.14999999999998</v>
      </c>
      <c r="G999" s="110">
        <v>0.90600893860030307</v>
      </c>
      <c r="H999" s="110">
        <v>1.4089321062599003</v>
      </c>
      <c r="I999" s="110">
        <v>9515.0409999999993</v>
      </c>
      <c r="J999" s="110">
        <v>379.70600000000002</v>
      </c>
      <c r="K999" s="110">
        <v>0.92579875693113634</v>
      </c>
      <c r="L999" s="110">
        <v>1.3903869998938818</v>
      </c>
      <c r="M999" s="110"/>
      <c r="N999" s="110"/>
      <c r="O999" s="110"/>
      <c r="P999" s="110">
        <v>34.332940000000001</v>
      </c>
      <c r="Q999" s="110"/>
      <c r="R999" s="110"/>
      <c r="S999" s="110"/>
      <c r="T999" s="110"/>
    </row>
    <row r="1000" spans="1:20">
      <c r="A1000" s="110" t="s">
        <v>44</v>
      </c>
      <c r="B1000" s="110" t="s">
        <v>106</v>
      </c>
      <c r="C1000" s="110">
        <v>12065</v>
      </c>
      <c r="D1000" s="110">
        <v>20.160979999999999</v>
      </c>
      <c r="E1000" s="110">
        <v>5200</v>
      </c>
      <c r="F1000" s="110">
        <v>323.14999999999998</v>
      </c>
      <c r="G1000" s="110">
        <v>0.90600893860030307</v>
      </c>
      <c r="H1000" s="110">
        <v>1.4089321062599003</v>
      </c>
      <c r="I1000" s="110">
        <v>9299.7309999999998</v>
      </c>
      <c r="J1000" s="110">
        <v>378.47919999999999</v>
      </c>
      <c r="K1000" s="110">
        <v>0.92409191179109063</v>
      </c>
      <c r="L1000" s="110">
        <v>1.3913242616508752</v>
      </c>
      <c r="M1000" s="110"/>
      <c r="N1000" s="110"/>
      <c r="O1000" s="110"/>
      <c r="P1000" s="110">
        <v>34.96895</v>
      </c>
      <c r="Q1000" s="110"/>
      <c r="R1000" s="110"/>
      <c r="S1000" s="110"/>
      <c r="T1000" s="110"/>
    </row>
    <row r="1001" spans="1:20">
      <c r="A1001" s="110" t="s">
        <v>44</v>
      </c>
      <c r="B1001" s="110" t="s">
        <v>106</v>
      </c>
      <c r="C1001" s="110">
        <v>12065</v>
      </c>
      <c r="D1001" s="110">
        <v>20.160979999999999</v>
      </c>
      <c r="E1001" s="110">
        <v>5200</v>
      </c>
      <c r="F1001" s="110">
        <v>323.14999999999998</v>
      </c>
      <c r="G1001" s="110">
        <v>0.90600893860030307</v>
      </c>
      <c r="H1001" s="110">
        <v>1.4089321062599003</v>
      </c>
      <c r="I1001" s="110">
        <v>8869.2019999999993</v>
      </c>
      <c r="J1001" s="110">
        <v>376.11739999999998</v>
      </c>
      <c r="K1001" s="110">
        <v>0.92607677020858237</v>
      </c>
      <c r="L1001" s="110">
        <v>1.3828672629788803</v>
      </c>
      <c r="M1001" s="110"/>
      <c r="N1001" s="110"/>
      <c r="O1001" s="110"/>
      <c r="P1001" s="110">
        <v>36.027050000000003</v>
      </c>
      <c r="Q1001" s="110"/>
      <c r="R1001" s="110"/>
      <c r="S1001" s="110"/>
      <c r="T1001" s="110"/>
    </row>
    <row r="1002" spans="1:20">
      <c r="A1002" s="110" t="s">
        <v>44</v>
      </c>
      <c r="B1002" s="110" t="s">
        <v>106</v>
      </c>
      <c r="C1002" s="110">
        <v>12065</v>
      </c>
      <c r="D1002" s="110">
        <v>20.160979999999999</v>
      </c>
      <c r="E1002" s="110">
        <v>5200</v>
      </c>
      <c r="F1002" s="110">
        <v>323.14999999999998</v>
      </c>
      <c r="G1002" s="110">
        <v>0.90600893860030307</v>
      </c>
      <c r="H1002" s="110">
        <v>1.4089321062599003</v>
      </c>
      <c r="I1002" s="110">
        <v>8655.0740000000005</v>
      </c>
      <c r="J1002" s="110">
        <v>374.97969999999998</v>
      </c>
      <c r="K1002" s="110">
        <v>0.92604488444307453</v>
      </c>
      <c r="L1002" s="110">
        <v>1.3847079829101572</v>
      </c>
      <c r="M1002" s="110"/>
      <c r="N1002" s="110"/>
      <c r="O1002" s="110"/>
      <c r="P1002" s="110">
        <v>36.472059999999999</v>
      </c>
      <c r="Q1002" s="110"/>
      <c r="R1002" s="110"/>
      <c r="S1002" s="110"/>
      <c r="T1002" s="110"/>
    </row>
    <row r="1003" spans="1:20">
      <c r="A1003" s="110" t="s">
        <v>44</v>
      </c>
      <c r="B1003" s="110" t="s">
        <v>106</v>
      </c>
      <c r="C1003" s="110">
        <v>12065</v>
      </c>
      <c r="D1003" s="110">
        <v>20.160979999999999</v>
      </c>
      <c r="E1003" s="110">
        <v>5200</v>
      </c>
      <c r="F1003" s="110">
        <v>323.14999999999998</v>
      </c>
      <c r="G1003" s="110">
        <v>0.90600893860030307</v>
      </c>
      <c r="H1003" s="110">
        <v>1.4089321062599003</v>
      </c>
      <c r="I1003" s="110">
        <v>8237.5339999999997</v>
      </c>
      <c r="J1003" s="110">
        <v>372.81569999999999</v>
      </c>
      <c r="K1003" s="110">
        <v>0.92541467963860446</v>
      </c>
      <c r="L1003" s="110">
        <v>1.3733304897122127</v>
      </c>
      <c r="M1003" s="110"/>
      <c r="N1003" s="110"/>
      <c r="O1003" s="110"/>
      <c r="P1003" s="110">
        <v>37.221649999999997</v>
      </c>
      <c r="Q1003" s="110"/>
      <c r="R1003" s="110"/>
      <c r="S1003" s="110"/>
      <c r="T1003" s="110"/>
    </row>
    <row r="1004" spans="1:20">
      <c r="A1004" s="110" t="s">
        <v>44</v>
      </c>
      <c r="B1004" s="110" t="s">
        <v>106</v>
      </c>
      <c r="C1004" s="110">
        <v>12065</v>
      </c>
      <c r="D1004" s="110">
        <v>20.160979999999999</v>
      </c>
      <c r="E1004" s="110">
        <v>5200</v>
      </c>
      <c r="F1004" s="110">
        <v>323.14999999999998</v>
      </c>
      <c r="G1004" s="110">
        <v>0.90600893860030307</v>
      </c>
      <c r="H1004" s="110">
        <v>1.4089321062599003</v>
      </c>
      <c r="I1004" s="110">
        <v>8023.3009999999995</v>
      </c>
      <c r="J1004" s="110">
        <v>371.7165</v>
      </c>
      <c r="K1004" s="110">
        <v>0.92714817467594957</v>
      </c>
      <c r="L1004" s="110">
        <v>1.3736424270997689</v>
      </c>
      <c r="M1004" s="110"/>
      <c r="N1004" s="110"/>
      <c r="O1004" s="110"/>
      <c r="P1004" s="110">
        <v>37.566969999999998</v>
      </c>
      <c r="Q1004" s="110"/>
      <c r="R1004" s="110"/>
      <c r="S1004" s="110"/>
      <c r="T1004" s="110"/>
    </row>
    <row r="1005" spans="1:20">
      <c r="A1005" s="110" t="s">
        <v>44</v>
      </c>
      <c r="B1005" s="110" t="s">
        <v>106</v>
      </c>
      <c r="C1005" s="110">
        <v>12065</v>
      </c>
      <c r="D1005" s="110">
        <v>20.160979999999999</v>
      </c>
      <c r="E1005" s="110">
        <v>5200</v>
      </c>
      <c r="F1005" s="110">
        <v>323.14999999999998</v>
      </c>
      <c r="G1005" s="110">
        <v>0.90600893860030307</v>
      </c>
      <c r="H1005" s="110">
        <v>1.4089321062599003</v>
      </c>
      <c r="I1005" s="110">
        <v>7616.2880000000005</v>
      </c>
      <c r="J1005" s="110">
        <v>369.59679999999997</v>
      </c>
      <c r="K1005" s="110">
        <v>0.92658689595700394</v>
      </c>
      <c r="L1005" s="110">
        <v>1.3742075945355372</v>
      </c>
      <c r="M1005" s="110"/>
      <c r="N1005" s="110"/>
      <c r="O1005" s="110"/>
      <c r="P1005" s="110">
        <v>38.185679999999998</v>
      </c>
      <c r="Q1005" s="110"/>
      <c r="R1005" s="110"/>
      <c r="S1005" s="110"/>
      <c r="T1005" s="110"/>
    </row>
    <row r="1006" spans="1:20">
      <c r="A1006" s="110" t="s">
        <v>44</v>
      </c>
      <c r="B1006" s="110" t="s">
        <v>106</v>
      </c>
      <c r="C1006" s="110">
        <v>12065</v>
      </c>
      <c r="D1006" s="110">
        <v>20.160979999999999</v>
      </c>
      <c r="E1006" s="110">
        <v>5200</v>
      </c>
      <c r="F1006" s="110">
        <v>323.14999999999998</v>
      </c>
      <c r="G1006" s="110">
        <v>0.90600893860030307</v>
      </c>
      <c r="H1006" s="110">
        <v>1.4089321062599003</v>
      </c>
      <c r="I1006" s="110">
        <v>7494.8269999999993</v>
      </c>
      <c r="J1006" s="110">
        <v>368.96510000000001</v>
      </c>
      <c r="K1006" s="110">
        <v>0.92642912265900246</v>
      </c>
      <c r="L1006" s="110">
        <v>1.3656959411426397</v>
      </c>
      <c r="M1006" s="110"/>
      <c r="N1006" s="110"/>
      <c r="O1006" s="110"/>
      <c r="P1006" s="110">
        <v>38.353090000000002</v>
      </c>
      <c r="Q1006" s="110"/>
      <c r="R1006" s="110"/>
      <c r="S1006" s="110"/>
      <c r="T1006" s="110"/>
    </row>
    <row r="1007" spans="1:20">
      <c r="A1007" s="110" t="s">
        <v>44</v>
      </c>
      <c r="B1007" s="110" t="s">
        <v>106</v>
      </c>
      <c r="C1007" s="110">
        <v>11430</v>
      </c>
      <c r="D1007" s="110">
        <v>20.160979999999999</v>
      </c>
      <c r="E1007" s="110">
        <v>5200</v>
      </c>
      <c r="F1007" s="110">
        <v>323.14999999999998</v>
      </c>
      <c r="G1007" s="110">
        <v>0.90600893860030307</v>
      </c>
      <c r="H1007" s="110">
        <v>1.4089321062599003</v>
      </c>
      <c r="I1007" s="110">
        <v>10787.96</v>
      </c>
      <c r="J1007" s="110">
        <v>390.01170000000002</v>
      </c>
      <c r="K1007" s="110">
        <v>0.93155791354394779</v>
      </c>
      <c r="L1007" s="110">
        <v>1.3887027711617326</v>
      </c>
      <c r="M1007" s="110"/>
      <c r="N1007" s="110"/>
      <c r="O1007" s="110"/>
      <c r="P1007" s="110">
        <v>18.937280000000001</v>
      </c>
      <c r="Q1007" s="110"/>
      <c r="R1007" s="110"/>
      <c r="S1007" s="110"/>
      <c r="T1007" s="110"/>
    </row>
    <row r="1008" spans="1:20">
      <c r="A1008" s="110" t="s">
        <v>44</v>
      </c>
      <c r="B1008" s="110" t="s">
        <v>106</v>
      </c>
      <c r="C1008" s="110">
        <v>11430</v>
      </c>
      <c r="D1008" s="110">
        <v>20.160979999999999</v>
      </c>
      <c r="E1008" s="110">
        <v>5200</v>
      </c>
      <c r="F1008" s="110">
        <v>323.14999999999998</v>
      </c>
      <c r="G1008" s="110">
        <v>0.90600893860030307</v>
      </c>
      <c r="H1008" s="110">
        <v>1.4089321062599003</v>
      </c>
      <c r="I1008" s="110">
        <v>10759.98</v>
      </c>
      <c r="J1008" s="110">
        <v>389.57839999999999</v>
      </c>
      <c r="K1008" s="110">
        <v>0.93118870935025022</v>
      </c>
      <c r="L1008" s="110">
        <v>1.3895296087691806</v>
      </c>
      <c r="M1008" s="110"/>
      <c r="N1008" s="110"/>
      <c r="O1008" s="110"/>
      <c r="P1008" s="110">
        <v>19.379729999999999</v>
      </c>
      <c r="Q1008" s="110"/>
      <c r="R1008" s="110"/>
      <c r="S1008" s="110"/>
      <c r="T1008" s="110"/>
    </row>
    <row r="1009" spans="1:20">
      <c r="A1009" s="110" t="s">
        <v>44</v>
      </c>
      <c r="B1009" s="110" t="s">
        <v>106</v>
      </c>
      <c r="C1009" s="110">
        <v>11430</v>
      </c>
      <c r="D1009" s="110">
        <v>20.160979999999999</v>
      </c>
      <c r="E1009" s="110">
        <v>5200</v>
      </c>
      <c r="F1009" s="110">
        <v>323.14999999999998</v>
      </c>
      <c r="G1009" s="110">
        <v>0.90600893860030307</v>
      </c>
      <c r="H1009" s="110">
        <v>1.4089321062599003</v>
      </c>
      <c r="I1009" s="110">
        <v>10719.54</v>
      </c>
      <c r="J1009" s="110">
        <v>388.99630000000002</v>
      </c>
      <c r="K1009" s="110">
        <v>0.93068002940817673</v>
      </c>
      <c r="L1009" s="110">
        <v>1.3906187419918605</v>
      </c>
      <c r="M1009" s="110"/>
      <c r="N1009" s="110"/>
      <c r="O1009" s="110"/>
      <c r="P1009" s="110">
        <v>19.963429999999999</v>
      </c>
      <c r="Q1009" s="110"/>
      <c r="R1009" s="110"/>
      <c r="S1009" s="110"/>
      <c r="T1009" s="110"/>
    </row>
    <row r="1010" spans="1:20">
      <c r="A1010" s="110" t="s">
        <v>44</v>
      </c>
      <c r="B1010" s="110" t="s">
        <v>106</v>
      </c>
      <c r="C1010" s="110">
        <v>11430</v>
      </c>
      <c r="D1010" s="110">
        <v>20.160979999999999</v>
      </c>
      <c r="E1010" s="110">
        <v>5200</v>
      </c>
      <c r="F1010" s="110">
        <v>323.14999999999998</v>
      </c>
      <c r="G1010" s="110">
        <v>0.90600893860030307</v>
      </c>
      <c r="H1010" s="110">
        <v>1.4089321062599003</v>
      </c>
      <c r="I1010" s="110">
        <v>10620.359999999999</v>
      </c>
      <c r="J1010" s="110">
        <v>387.70830000000001</v>
      </c>
      <c r="K1010" s="110">
        <v>0.929471698673215</v>
      </c>
      <c r="L1010" s="110">
        <v>1.3929572042056948</v>
      </c>
      <c r="M1010" s="110"/>
      <c r="N1010" s="110"/>
      <c r="O1010" s="110"/>
      <c r="P1010" s="110">
        <v>21.201270000000001</v>
      </c>
      <c r="Q1010" s="110"/>
      <c r="R1010" s="110"/>
      <c r="S1010" s="110"/>
      <c r="T1010" s="110"/>
    </row>
    <row r="1011" spans="1:20">
      <c r="A1011" s="110" t="s">
        <v>44</v>
      </c>
      <c r="B1011" s="110" t="s">
        <v>106</v>
      </c>
      <c r="C1011" s="110">
        <v>11430</v>
      </c>
      <c r="D1011" s="110">
        <v>20.160979999999999</v>
      </c>
      <c r="E1011" s="110">
        <v>5200</v>
      </c>
      <c r="F1011" s="110">
        <v>323.14999999999998</v>
      </c>
      <c r="G1011" s="110">
        <v>0.90600893860030307</v>
      </c>
      <c r="H1011" s="110">
        <v>1.4089321062599003</v>
      </c>
      <c r="I1011" s="110">
        <v>10450.07</v>
      </c>
      <c r="J1011" s="110">
        <v>385.7647</v>
      </c>
      <c r="K1011" s="110">
        <v>0.92732175942075079</v>
      </c>
      <c r="L1011" s="110">
        <v>1.3963320226405709</v>
      </c>
      <c r="M1011" s="110"/>
      <c r="N1011" s="110"/>
      <c r="O1011" s="110"/>
      <c r="P1011" s="110">
        <v>22.998290000000001</v>
      </c>
      <c r="Q1011" s="110"/>
      <c r="R1011" s="110"/>
      <c r="S1011" s="110"/>
      <c r="T1011" s="110"/>
    </row>
    <row r="1012" spans="1:20">
      <c r="A1012" s="110" t="s">
        <v>44</v>
      </c>
      <c r="B1012" s="110" t="s">
        <v>106</v>
      </c>
      <c r="C1012" s="110">
        <v>11430</v>
      </c>
      <c r="D1012" s="110">
        <v>20.160979999999999</v>
      </c>
      <c r="E1012" s="110">
        <v>5200</v>
      </c>
      <c r="F1012" s="110">
        <v>323.14999999999998</v>
      </c>
      <c r="G1012" s="110">
        <v>0.90600893860030307</v>
      </c>
      <c r="H1012" s="110">
        <v>1.4089321062599003</v>
      </c>
      <c r="I1012" s="110">
        <v>10345.200000000001</v>
      </c>
      <c r="J1012" s="110">
        <v>384.68770000000001</v>
      </c>
      <c r="K1012" s="110">
        <v>0.92589908224306672</v>
      </c>
      <c r="L1012" s="110">
        <v>1.3981154220261027</v>
      </c>
      <c r="M1012" s="110"/>
      <c r="N1012" s="110"/>
      <c r="O1012" s="110"/>
      <c r="P1012" s="110">
        <v>23.976800000000001</v>
      </c>
      <c r="Q1012" s="110"/>
      <c r="R1012" s="110"/>
      <c r="S1012" s="110"/>
      <c r="T1012" s="110"/>
    </row>
    <row r="1013" spans="1:20">
      <c r="A1013" s="110" t="s">
        <v>44</v>
      </c>
      <c r="B1013" s="110" t="s">
        <v>106</v>
      </c>
      <c r="C1013" s="110">
        <v>11430</v>
      </c>
      <c r="D1013" s="110">
        <v>20.160979999999999</v>
      </c>
      <c r="E1013" s="110">
        <v>5200</v>
      </c>
      <c r="F1013" s="110">
        <v>323.14999999999998</v>
      </c>
      <c r="G1013" s="110">
        <v>0.90600893860030307</v>
      </c>
      <c r="H1013" s="110">
        <v>1.4089321062599003</v>
      </c>
      <c r="I1013" s="110">
        <v>10326.33</v>
      </c>
      <c r="J1013" s="110">
        <v>384.50299999999999</v>
      </c>
      <c r="K1013" s="110">
        <v>0.92563443272396084</v>
      </c>
      <c r="L1013" s="110">
        <v>1.3984133431803465</v>
      </c>
      <c r="M1013" s="110"/>
      <c r="N1013" s="110"/>
      <c r="O1013" s="110"/>
      <c r="P1013" s="110">
        <v>24.142700000000001</v>
      </c>
      <c r="Q1013" s="110"/>
      <c r="R1013" s="110"/>
      <c r="S1013" s="110"/>
      <c r="T1013" s="110"/>
    </row>
    <row r="1014" spans="1:20">
      <c r="A1014" s="110" t="s">
        <v>44</v>
      </c>
      <c r="B1014" s="110" t="s">
        <v>106</v>
      </c>
      <c r="C1014" s="110">
        <v>11430</v>
      </c>
      <c r="D1014" s="110">
        <v>20.160979999999999</v>
      </c>
      <c r="E1014" s="110">
        <v>5200</v>
      </c>
      <c r="F1014" s="110">
        <v>323.14999999999998</v>
      </c>
      <c r="G1014" s="110">
        <v>0.90600893860030307</v>
      </c>
      <c r="H1014" s="110">
        <v>1.4089321062599003</v>
      </c>
      <c r="I1014" s="110">
        <v>10151.86</v>
      </c>
      <c r="J1014" s="110">
        <v>382.88440000000003</v>
      </c>
      <c r="K1014" s="110">
        <v>0.92479160443813679</v>
      </c>
      <c r="L1014" s="110">
        <v>1.3890283715710219</v>
      </c>
      <c r="M1014" s="110"/>
      <c r="N1014" s="110"/>
      <c r="O1014" s="110"/>
      <c r="P1014" s="110">
        <v>25.55097</v>
      </c>
      <c r="Q1014" s="110"/>
      <c r="R1014" s="110"/>
      <c r="S1014" s="110"/>
      <c r="T1014" s="110"/>
    </row>
    <row r="1015" spans="1:20">
      <c r="A1015" s="110" t="s">
        <v>44</v>
      </c>
      <c r="B1015" s="110" t="s">
        <v>106</v>
      </c>
      <c r="C1015" s="110">
        <v>11430</v>
      </c>
      <c r="D1015" s="110">
        <v>20.160979999999999</v>
      </c>
      <c r="E1015" s="110">
        <v>5200</v>
      </c>
      <c r="F1015" s="110">
        <v>323.14999999999998</v>
      </c>
      <c r="G1015" s="110">
        <v>0.90600893860030307</v>
      </c>
      <c r="H1015" s="110">
        <v>1.4089321062599003</v>
      </c>
      <c r="I1015" s="110">
        <v>10054.84</v>
      </c>
      <c r="J1015" s="110">
        <v>382.03339999999997</v>
      </c>
      <c r="K1015" s="110">
        <v>0.92508848960977397</v>
      </c>
      <c r="L1015" s="110">
        <v>1.3901848580586207</v>
      </c>
      <c r="M1015" s="110"/>
      <c r="N1015" s="110"/>
      <c r="O1015" s="110"/>
      <c r="P1015" s="110">
        <v>26.266269999999999</v>
      </c>
      <c r="Q1015" s="110"/>
      <c r="R1015" s="110"/>
      <c r="S1015" s="110"/>
      <c r="T1015" s="110"/>
    </row>
    <row r="1016" spans="1:20">
      <c r="A1016" s="110" t="s">
        <v>44</v>
      </c>
      <c r="B1016" s="110" t="s">
        <v>106</v>
      </c>
      <c r="C1016" s="110">
        <v>11430</v>
      </c>
      <c r="D1016" s="110">
        <v>20.160979999999999</v>
      </c>
      <c r="E1016" s="110">
        <v>5200</v>
      </c>
      <c r="F1016" s="110">
        <v>323.14999999999998</v>
      </c>
      <c r="G1016" s="110">
        <v>0.90600893860030307</v>
      </c>
      <c r="H1016" s="110">
        <v>1.4089321062599003</v>
      </c>
      <c r="I1016" s="110">
        <v>9986.5619999999999</v>
      </c>
      <c r="J1016" s="110">
        <v>381.45069999999998</v>
      </c>
      <c r="K1016" s="110">
        <v>0.92520428909132257</v>
      </c>
      <c r="L1016" s="110">
        <v>1.3909503624323452</v>
      </c>
      <c r="M1016" s="110"/>
      <c r="N1016" s="110"/>
      <c r="O1016" s="110"/>
      <c r="P1016" s="110">
        <v>26.74541</v>
      </c>
      <c r="Q1016" s="110"/>
      <c r="R1016" s="110"/>
      <c r="S1016" s="110"/>
      <c r="T1016" s="110"/>
    </row>
    <row r="1017" spans="1:20">
      <c r="A1017" s="110" t="s">
        <v>44</v>
      </c>
      <c r="B1017" s="110" t="s">
        <v>106</v>
      </c>
      <c r="C1017" s="110">
        <v>11430</v>
      </c>
      <c r="D1017" s="110">
        <v>20.160979999999999</v>
      </c>
      <c r="E1017" s="110">
        <v>5200</v>
      </c>
      <c r="F1017" s="110">
        <v>323.14999999999998</v>
      </c>
      <c r="G1017" s="110">
        <v>0.90600893860030307</v>
      </c>
      <c r="H1017" s="110">
        <v>1.4089321062599003</v>
      </c>
      <c r="I1017" s="110">
        <v>9868.0689999999995</v>
      </c>
      <c r="J1017" s="110">
        <v>380.48719999999997</v>
      </c>
      <c r="K1017" s="110">
        <v>0.92523896487806001</v>
      </c>
      <c r="L1017" s="110">
        <v>1.3921486666009109</v>
      </c>
      <c r="M1017" s="110"/>
      <c r="N1017" s="110"/>
      <c r="O1017" s="110"/>
      <c r="P1017" s="110">
        <v>27.517469999999999</v>
      </c>
      <c r="Q1017" s="110"/>
      <c r="R1017" s="110"/>
      <c r="S1017" s="110"/>
      <c r="T1017" s="110"/>
    </row>
    <row r="1018" spans="1:20">
      <c r="A1018" s="110" t="s">
        <v>44</v>
      </c>
      <c r="B1018" s="110" t="s">
        <v>106</v>
      </c>
      <c r="C1018" s="110">
        <v>11430</v>
      </c>
      <c r="D1018" s="110">
        <v>20.160979999999999</v>
      </c>
      <c r="E1018" s="110">
        <v>5200</v>
      </c>
      <c r="F1018" s="110">
        <v>323.14999999999998</v>
      </c>
      <c r="G1018" s="110">
        <v>0.90600893860030307</v>
      </c>
      <c r="H1018" s="110">
        <v>1.4089321062599003</v>
      </c>
      <c r="I1018" s="110">
        <v>9767.9779999999992</v>
      </c>
      <c r="J1018" s="110">
        <v>379.71260000000001</v>
      </c>
      <c r="K1018" s="110">
        <v>0.92506045731366227</v>
      </c>
      <c r="L1018" s="110">
        <v>1.3930902787145956</v>
      </c>
      <c r="M1018" s="110"/>
      <c r="N1018" s="110"/>
      <c r="O1018" s="110"/>
      <c r="P1018" s="110">
        <v>28.11225</v>
      </c>
      <c r="Q1018" s="110"/>
      <c r="R1018" s="110"/>
      <c r="S1018" s="110"/>
      <c r="T1018" s="110"/>
    </row>
    <row r="1019" spans="1:20">
      <c r="A1019" s="110" t="s">
        <v>44</v>
      </c>
      <c r="B1019" s="110" t="s">
        <v>106</v>
      </c>
      <c r="C1019" s="110">
        <v>11430</v>
      </c>
      <c r="D1019" s="110">
        <v>20.160979999999999</v>
      </c>
      <c r="E1019" s="110">
        <v>5200</v>
      </c>
      <c r="F1019" s="110">
        <v>323.14999999999998</v>
      </c>
      <c r="G1019" s="110">
        <v>0.90600893860030307</v>
      </c>
      <c r="H1019" s="110">
        <v>1.4089321062599003</v>
      </c>
      <c r="I1019" s="110">
        <v>9463.2420000000002</v>
      </c>
      <c r="J1019" s="110">
        <v>377.5154</v>
      </c>
      <c r="K1019" s="110">
        <v>0.92341577044748668</v>
      </c>
      <c r="L1019" s="110">
        <v>1.3956976239360241</v>
      </c>
      <c r="M1019" s="110"/>
      <c r="N1019" s="110"/>
      <c r="O1019" s="110"/>
      <c r="P1019" s="110">
        <v>29.69736</v>
      </c>
      <c r="Q1019" s="110"/>
      <c r="R1019" s="110"/>
      <c r="S1019" s="110"/>
      <c r="T1019" s="110"/>
    </row>
    <row r="1020" spans="1:20">
      <c r="A1020" s="110" t="s">
        <v>44</v>
      </c>
      <c r="B1020" s="110" t="s">
        <v>106</v>
      </c>
      <c r="C1020" s="110">
        <v>11430</v>
      </c>
      <c r="D1020" s="110">
        <v>20.160979999999999</v>
      </c>
      <c r="E1020" s="110">
        <v>5200</v>
      </c>
      <c r="F1020" s="110">
        <v>323.14999999999998</v>
      </c>
      <c r="G1020" s="110">
        <v>0.90600893860030307</v>
      </c>
      <c r="H1020" s="110">
        <v>1.4089321062599003</v>
      </c>
      <c r="I1020" s="110">
        <v>9286.360999999999</v>
      </c>
      <c r="J1020" s="110">
        <v>376.32589999999999</v>
      </c>
      <c r="K1020" s="110">
        <v>0.92172561797935093</v>
      </c>
      <c r="L1020" s="110">
        <v>1.3970688013455024</v>
      </c>
      <c r="M1020" s="110"/>
      <c r="N1020" s="110"/>
      <c r="O1020" s="110"/>
      <c r="P1020" s="110">
        <v>30.472860000000001</v>
      </c>
      <c r="Q1020" s="110"/>
      <c r="R1020" s="110"/>
      <c r="S1020" s="110"/>
      <c r="T1020" s="110"/>
    </row>
    <row r="1021" spans="1:20">
      <c r="A1021" s="110" t="s">
        <v>44</v>
      </c>
      <c r="B1021" s="110" t="s">
        <v>106</v>
      </c>
      <c r="C1021" s="110">
        <v>11430</v>
      </c>
      <c r="D1021" s="110">
        <v>20.160979999999999</v>
      </c>
      <c r="E1021" s="110">
        <v>5200</v>
      </c>
      <c r="F1021" s="110">
        <v>323.14999999999998</v>
      </c>
      <c r="G1021" s="110">
        <v>0.90600893860030307</v>
      </c>
      <c r="H1021" s="110">
        <v>1.4089321062599003</v>
      </c>
      <c r="I1021" s="110">
        <v>8932.5010000000002</v>
      </c>
      <c r="J1021" s="110">
        <v>374.0838</v>
      </c>
      <c r="K1021" s="110">
        <v>0.92338378815855682</v>
      </c>
      <c r="L1021" s="110">
        <v>1.3857668729261088</v>
      </c>
      <c r="M1021" s="110"/>
      <c r="N1021" s="110"/>
      <c r="O1021" s="110"/>
      <c r="P1021" s="110">
        <v>31.784369999999999</v>
      </c>
      <c r="Q1021" s="110"/>
      <c r="R1021" s="110"/>
      <c r="S1021" s="110"/>
      <c r="T1021" s="110"/>
    </row>
    <row r="1022" spans="1:20">
      <c r="A1022" s="110" t="s">
        <v>44</v>
      </c>
      <c r="B1022" s="110" t="s">
        <v>106</v>
      </c>
      <c r="C1022" s="110">
        <v>11430</v>
      </c>
      <c r="D1022" s="110">
        <v>20.160979999999999</v>
      </c>
      <c r="E1022" s="110">
        <v>5200</v>
      </c>
      <c r="F1022" s="110">
        <v>323.14999999999998</v>
      </c>
      <c r="G1022" s="110">
        <v>0.90600893860030307</v>
      </c>
      <c r="H1022" s="110">
        <v>1.4089321062599003</v>
      </c>
      <c r="I1022" s="110">
        <v>8739.146999999999</v>
      </c>
      <c r="J1022" s="110">
        <v>372.94139999999999</v>
      </c>
      <c r="K1022" s="110">
        <v>0.9236164989225033</v>
      </c>
      <c r="L1022" s="110">
        <v>1.3867325886027158</v>
      </c>
      <c r="M1022" s="110"/>
      <c r="N1022" s="110"/>
      <c r="O1022" s="110"/>
      <c r="P1022" s="110">
        <v>32.37811</v>
      </c>
      <c r="Q1022" s="110"/>
      <c r="R1022" s="110"/>
      <c r="S1022" s="110"/>
      <c r="T1022" s="110"/>
    </row>
    <row r="1023" spans="1:20">
      <c r="A1023" s="110" t="s">
        <v>44</v>
      </c>
      <c r="B1023" s="110" t="s">
        <v>106</v>
      </c>
      <c r="C1023" s="110">
        <v>11430</v>
      </c>
      <c r="D1023" s="110">
        <v>20.160979999999999</v>
      </c>
      <c r="E1023" s="110">
        <v>5200</v>
      </c>
      <c r="F1023" s="110">
        <v>323.14999999999998</v>
      </c>
      <c r="G1023" s="110">
        <v>0.90600893860030307</v>
      </c>
      <c r="H1023" s="110">
        <v>1.4089321062599003</v>
      </c>
      <c r="I1023" s="110">
        <v>8386.0360000000001</v>
      </c>
      <c r="J1023" s="110">
        <v>370.92930000000001</v>
      </c>
      <c r="K1023" s="110">
        <v>0.92177346958960993</v>
      </c>
      <c r="L1023" s="110">
        <v>1.3899947631820779</v>
      </c>
      <c r="M1023" s="110"/>
      <c r="N1023" s="110"/>
      <c r="O1023" s="110"/>
      <c r="P1023" s="110">
        <v>33.314369999999997</v>
      </c>
      <c r="Q1023" s="110"/>
      <c r="R1023" s="110"/>
      <c r="S1023" s="110"/>
      <c r="T1023" s="110"/>
    </row>
    <row r="1024" spans="1:20">
      <c r="A1024" s="110" t="s">
        <v>44</v>
      </c>
      <c r="B1024" s="110" t="s">
        <v>106</v>
      </c>
      <c r="C1024" s="110">
        <v>11430</v>
      </c>
      <c r="D1024" s="110">
        <v>20.160979999999999</v>
      </c>
      <c r="E1024" s="110">
        <v>5200</v>
      </c>
      <c r="F1024" s="110">
        <v>323.14999999999998</v>
      </c>
      <c r="G1024" s="110">
        <v>0.90600893860030307</v>
      </c>
      <c r="H1024" s="110">
        <v>1.4089321062599003</v>
      </c>
      <c r="I1024" s="110">
        <v>8200.8379999999997</v>
      </c>
      <c r="J1024" s="110">
        <v>369.88589999999999</v>
      </c>
      <c r="K1024" s="110">
        <v>0.92308338806056045</v>
      </c>
      <c r="L1024" s="110">
        <v>1.3798731372801729</v>
      </c>
      <c r="M1024" s="110"/>
      <c r="N1024" s="110"/>
      <c r="O1024" s="110"/>
      <c r="P1024" s="110">
        <v>33.761180000000003</v>
      </c>
      <c r="Q1024" s="110"/>
      <c r="R1024" s="110"/>
      <c r="S1024" s="110"/>
      <c r="T1024" s="110"/>
    </row>
    <row r="1025" spans="1:20">
      <c r="A1025" s="110" t="s">
        <v>44</v>
      </c>
      <c r="B1025" s="110" t="s">
        <v>106</v>
      </c>
      <c r="C1025" s="110">
        <v>11430</v>
      </c>
      <c r="D1025" s="110">
        <v>20.160979999999999</v>
      </c>
      <c r="E1025" s="110">
        <v>5200</v>
      </c>
      <c r="F1025" s="110">
        <v>323.14999999999998</v>
      </c>
      <c r="G1025" s="110">
        <v>0.90600893860030307</v>
      </c>
      <c r="H1025" s="110">
        <v>1.4089321062599003</v>
      </c>
      <c r="I1025" s="110">
        <v>7810.6409999999996</v>
      </c>
      <c r="J1025" s="110">
        <v>367.75060000000002</v>
      </c>
      <c r="K1025" s="110">
        <v>0.92461522009376063</v>
      </c>
      <c r="L1025" s="110">
        <v>1.381118496384375</v>
      </c>
      <c r="M1025" s="110"/>
      <c r="N1025" s="110"/>
      <c r="O1025" s="110"/>
      <c r="P1025" s="110">
        <v>34.574829999999999</v>
      </c>
      <c r="Q1025" s="110"/>
      <c r="R1025" s="110"/>
      <c r="S1025" s="110"/>
      <c r="T1025" s="110"/>
    </row>
    <row r="1026" spans="1:20">
      <c r="A1026" s="110" t="s">
        <v>44</v>
      </c>
      <c r="B1026" s="110" t="s">
        <v>106</v>
      </c>
      <c r="C1026" s="110">
        <v>11430</v>
      </c>
      <c r="D1026" s="110">
        <v>20.160979999999999</v>
      </c>
      <c r="E1026" s="110">
        <v>5200</v>
      </c>
      <c r="F1026" s="110">
        <v>323.14999999999998</v>
      </c>
      <c r="G1026" s="110">
        <v>0.90600893860030307</v>
      </c>
      <c r="H1026" s="110">
        <v>1.4089321062599003</v>
      </c>
      <c r="I1026" s="110">
        <v>7626.8230000000003</v>
      </c>
      <c r="J1026" s="110">
        <v>366.7586</v>
      </c>
      <c r="K1026" s="110">
        <v>0.92374158625522762</v>
      </c>
      <c r="L1026" s="110">
        <v>1.3817800393801647</v>
      </c>
      <c r="M1026" s="110"/>
      <c r="N1026" s="110"/>
      <c r="O1026" s="110"/>
      <c r="P1026" s="110">
        <v>34.912230000000001</v>
      </c>
      <c r="Q1026" s="110"/>
      <c r="R1026" s="110"/>
      <c r="S1026" s="110"/>
      <c r="T1026" s="110"/>
    </row>
    <row r="1027" spans="1:20">
      <c r="A1027" s="110" t="s">
        <v>44</v>
      </c>
      <c r="B1027" s="110" t="s">
        <v>106</v>
      </c>
      <c r="C1027" s="110">
        <v>11430</v>
      </c>
      <c r="D1027" s="110">
        <v>20.160979999999999</v>
      </c>
      <c r="E1027" s="110">
        <v>5200</v>
      </c>
      <c r="F1027" s="110">
        <v>323.14999999999998</v>
      </c>
      <c r="G1027" s="110">
        <v>0.90600893860030307</v>
      </c>
      <c r="H1027" s="110">
        <v>1.4089321062599003</v>
      </c>
      <c r="I1027" s="110">
        <v>7277.1220000000003</v>
      </c>
      <c r="J1027" s="110">
        <v>364.8725</v>
      </c>
      <c r="K1027" s="110">
        <v>0.92600699135778219</v>
      </c>
      <c r="L1027" s="110">
        <v>1.3706980648215057</v>
      </c>
      <c r="M1027" s="110"/>
      <c r="N1027" s="110"/>
      <c r="O1027" s="110"/>
      <c r="P1027" s="110">
        <v>35.506570000000004</v>
      </c>
      <c r="Q1027" s="110"/>
      <c r="R1027" s="110"/>
      <c r="S1027" s="110"/>
      <c r="T1027" s="110"/>
    </row>
    <row r="1028" spans="1:20">
      <c r="A1028" s="110" t="s">
        <v>44</v>
      </c>
      <c r="B1028" s="110" t="s">
        <v>106</v>
      </c>
      <c r="C1028" s="110">
        <v>10795</v>
      </c>
      <c r="D1028" s="110">
        <v>20.160979999999999</v>
      </c>
      <c r="E1028" s="110">
        <v>5200</v>
      </c>
      <c r="F1028" s="110">
        <v>323.14999999999998</v>
      </c>
      <c r="G1028" s="110">
        <v>0.90600893860030307</v>
      </c>
      <c r="H1028" s="110">
        <v>1.4089321062599003</v>
      </c>
      <c r="I1028" s="110">
        <v>9988.2189999999991</v>
      </c>
      <c r="J1028" s="110">
        <v>383.2362</v>
      </c>
      <c r="K1028" s="110">
        <v>0.92703064630745624</v>
      </c>
      <c r="L1028" s="110">
        <v>1.3864421980542276</v>
      </c>
      <c r="M1028" s="110"/>
      <c r="N1028" s="110"/>
      <c r="O1028" s="110"/>
      <c r="P1028" s="110">
        <v>17.643630000000002</v>
      </c>
      <c r="Q1028" s="110"/>
      <c r="R1028" s="110"/>
      <c r="S1028" s="110"/>
      <c r="T1028" s="110"/>
    </row>
    <row r="1029" spans="1:20">
      <c r="A1029" s="110" t="s">
        <v>44</v>
      </c>
      <c r="B1029" s="110" t="s">
        <v>106</v>
      </c>
      <c r="C1029" s="110">
        <v>10795</v>
      </c>
      <c r="D1029" s="110">
        <v>20.160979999999999</v>
      </c>
      <c r="E1029" s="110">
        <v>5200</v>
      </c>
      <c r="F1029" s="110">
        <v>323.14999999999998</v>
      </c>
      <c r="G1029" s="110">
        <v>0.90600893860030307</v>
      </c>
      <c r="H1029" s="110">
        <v>1.4089321062599003</v>
      </c>
      <c r="I1029" s="110">
        <v>9982.3040000000001</v>
      </c>
      <c r="J1029" s="110">
        <v>383.13619999999997</v>
      </c>
      <c r="K1029" s="110">
        <v>0.92698532774441045</v>
      </c>
      <c r="L1029" s="110">
        <v>1.3866341566465541</v>
      </c>
      <c r="M1029" s="110"/>
      <c r="N1029" s="110"/>
      <c r="O1029" s="110"/>
      <c r="P1029" s="110">
        <v>17.74353</v>
      </c>
      <c r="Q1029" s="110"/>
      <c r="R1029" s="110"/>
      <c r="S1029" s="110"/>
      <c r="T1029" s="110"/>
    </row>
    <row r="1030" spans="1:20">
      <c r="A1030" s="110" t="s">
        <v>44</v>
      </c>
      <c r="B1030" s="110" t="s">
        <v>106</v>
      </c>
      <c r="C1030" s="110">
        <v>10795</v>
      </c>
      <c r="D1030" s="110">
        <v>20.160979999999999</v>
      </c>
      <c r="E1030" s="110">
        <v>5200</v>
      </c>
      <c r="F1030" s="110">
        <v>323.14999999999998</v>
      </c>
      <c r="G1030" s="110">
        <v>0.90600893860030307</v>
      </c>
      <c r="H1030" s="110">
        <v>1.4089321062599003</v>
      </c>
      <c r="I1030" s="110">
        <v>9964.42</v>
      </c>
      <c r="J1030" s="110">
        <v>382.84089999999998</v>
      </c>
      <c r="K1030" s="110">
        <v>0.92685145728146201</v>
      </c>
      <c r="L1030" s="110">
        <v>1.3871962492041632</v>
      </c>
      <c r="M1030" s="110"/>
      <c r="N1030" s="110"/>
      <c r="O1030" s="110"/>
      <c r="P1030" s="110">
        <v>18.037099999999999</v>
      </c>
      <c r="Q1030" s="110"/>
      <c r="R1030" s="110"/>
      <c r="S1030" s="110"/>
      <c r="T1030" s="110"/>
    </row>
    <row r="1031" spans="1:20">
      <c r="A1031" s="110" t="s">
        <v>44</v>
      </c>
      <c r="B1031" s="110" t="s">
        <v>106</v>
      </c>
      <c r="C1031" s="110">
        <v>10795</v>
      </c>
      <c r="D1031" s="110">
        <v>20.160979999999999</v>
      </c>
      <c r="E1031" s="110">
        <v>5200</v>
      </c>
      <c r="F1031" s="110">
        <v>323.14999999999998</v>
      </c>
      <c r="G1031" s="110">
        <v>0.90600893860030307</v>
      </c>
      <c r="H1031" s="110">
        <v>1.4089321062599003</v>
      </c>
      <c r="I1031" s="110">
        <v>9894.8719999999994</v>
      </c>
      <c r="J1031" s="110">
        <v>381.76240000000001</v>
      </c>
      <c r="K1031" s="110">
        <v>0.92634422473757516</v>
      </c>
      <c r="L1031" s="110">
        <v>1.3892005352356014</v>
      </c>
      <c r="M1031" s="110"/>
      <c r="N1031" s="110"/>
      <c r="O1031" s="110"/>
      <c r="P1031" s="110">
        <v>19.079979999999999</v>
      </c>
      <c r="Q1031" s="110"/>
      <c r="R1031" s="110"/>
      <c r="S1031" s="110"/>
      <c r="T1031" s="110"/>
    </row>
    <row r="1032" spans="1:20">
      <c r="A1032" s="110" t="s">
        <v>44</v>
      </c>
      <c r="B1032" s="110" t="s">
        <v>106</v>
      </c>
      <c r="C1032" s="110">
        <v>10795</v>
      </c>
      <c r="D1032" s="110">
        <v>20.160979999999999</v>
      </c>
      <c r="E1032" s="110">
        <v>5200</v>
      </c>
      <c r="F1032" s="110">
        <v>323.14999999999998</v>
      </c>
      <c r="G1032" s="110">
        <v>0.90600893860030307</v>
      </c>
      <c r="H1032" s="110">
        <v>1.4089321062599003</v>
      </c>
      <c r="I1032" s="110">
        <v>9759.68</v>
      </c>
      <c r="J1032" s="110">
        <v>379.94929999999999</v>
      </c>
      <c r="K1032" s="110">
        <v>0.92536716630817428</v>
      </c>
      <c r="L1032" s="110">
        <v>1.3923841816660132</v>
      </c>
      <c r="M1032" s="110"/>
      <c r="N1032" s="110"/>
      <c r="O1032" s="110"/>
      <c r="P1032" s="110">
        <v>20.785430000000002</v>
      </c>
      <c r="Q1032" s="110"/>
      <c r="R1032" s="110"/>
      <c r="S1032" s="110"/>
      <c r="T1032" s="110"/>
    </row>
    <row r="1033" spans="1:20">
      <c r="A1033" s="110" t="s">
        <v>44</v>
      </c>
      <c r="B1033" s="110" t="s">
        <v>106</v>
      </c>
      <c r="C1033" s="110">
        <v>10795</v>
      </c>
      <c r="D1033" s="110">
        <v>20.160979999999999</v>
      </c>
      <c r="E1033" s="110">
        <v>5200</v>
      </c>
      <c r="F1033" s="110">
        <v>323.14999999999998</v>
      </c>
      <c r="G1033" s="110">
        <v>0.90600893860030307</v>
      </c>
      <c r="H1033" s="110">
        <v>1.4089321062599003</v>
      </c>
      <c r="I1033" s="110">
        <v>9527.92</v>
      </c>
      <c r="J1033" s="110">
        <v>377.43169999999998</v>
      </c>
      <c r="K1033" s="110">
        <v>0.92331363265125965</v>
      </c>
      <c r="L1033" s="110">
        <v>1.3966049337222681</v>
      </c>
      <c r="M1033" s="110"/>
      <c r="N1033" s="110"/>
      <c r="O1033" s="110"/>
      <c r="P1033" s="110">
        <v>23.036860000000001</v>
      </c>
      <c r="Q1033" s="110"/>
      <c r="R1033" s="110"/>
      <c r="S1033" s="110"/>
      <c r="T1033" s="110"/>
    </row>
    <row r="1034" spans="1:20">
      <c r="A1034" s="110" t="s">
        <v>44</v>
      </c>
      <c r="B1034" s="110" t="s">
        <v>106</v>
      </c>
      <c r="C1034" s="110">
        <v>10795</v>
      </c>
      <c r="D1034" s="110">
        <v>20.160979999999999</v>
      </c>
      <c r="E1034" s="110">
        <v>5200</v>
      </c>
      <c r="F1034" s="110">
        <v>323.14999999999998</v>
      </c>
      <c r="G1034" s="110">
        <v>0.90600893860030307</v>
      </c>
      <c r="H1034" s="110">
        <v>1.4089321062599003</v>
      </c>
      <c r="I1034" s="110">
        <v>9288.1769999999997</v>
      </c>
      <c r="J1034" s="110">
        <v>375.21820000000002</v>
      </c>
      <c r="K1034" s="110">
        <v>0.92053319284709756</v>
      </c>
      <c r="L1034" s="110">
        <v>1.4001334456692227</v>
      </c>
      <c r="M1034" s="110"/>
      <c r="N1034" s="110"/>
      <c r="O1034" s="110"/>
      <c r="P1034" s="110">
        <v>24.888940000000002</v>
      </c>
      <c r="Q1034" s="110"/>
      <c r="R1034" s="110"/>
      <c r="S1034" s="110"/>
      <c r="T1034" s="110"/>
    </row>
    <row r="1035" spans="1:20">
      <c r="A1035" s="110" t="s">
        <v>44</v>
      </c>
      <c r="B1035" s="110" t="s">
        <v>106</v>
      </c>
      <c r="C1035" s="110">
        <v>10795</v>
      </c>
      <c r="D1035" s="110">
        <v>20.160979999999999</v>
      </c>
      <c r="E1035" s="110">
        <v>5200</v>
      </c>
      <c r="F1035" s="110">
        <v>323.14999999999998</v>
      </c>
      <c r="G1035" s="110">
        <v>0.90600893860030307</v>
      </c>
      <c r="H1035" s="110">
        <v>1.4089321062599003</v>
      </c>
      <c r="I1035" s="110">
        <v>9022.5239999999994</v>
      </c>
      <c r="J1035" s="110">
        <v>373.06209999999999</v>
      </c>
      <c r="K1035" s="110">
        <v>0.92130735740548508</v>
      </c>
      <c r="L1035" s="110">
        <v>1.3896112634141895</v>
      </c>
      <c r="M1035" s="110"/>
      <c r="N1035" s="110"/>
      <c r="O1035" s="110"/>
      <c r="P1035" s="110">
        <v>26.55086</v>
      </c>
      <c r="Q1035" s="110"/>
      <c r="R1035" s="110"/>
      <c r="S1035" s="110"/>
      <c r="T1035" s="110"/>
    </row>
    <row r="1036" spans="1:20">
      <c r="A1036" s="110" t="s">
        <v>44</v>
      </c>
      <c r="B1036" s="110" t="s">
        <v>106</v>
      </c>
      <c r="C1036" s="110">
        <v>10795</v>
      </c>
      <c r="D1036" s="110">
        <v>20.160979999999999</v>
      </c>
      <c r="E1036" s="110">
        <v>5200</v>
      </c>
      <c r="F1036" s="110">
        <v>323.14999999999998</v>
      </c>
      <c r="G1036" s="110">
        <v>0.90600893860030307</v>
      </c>
      <c r="H1036" s="110">
        <v>1.4089321062599003</v>
      </c>
      <c r="I1036" s="110">
        <v>8927.2639999999992</v>
      </c>
      <c r="J1036" s="110">
        <v>372.34930000000003</v>
      </c>
      <c r="K1036" s="110">
        <v>0.92159463006171172</v>
      </c>
      <c r="L1036" s="110">
        <v>1.3904644148020615</v>
      </c>
      <c r="M1036" s="110"/>
      <c r="N1036" s="110"/>
      <c r="O1036" s="110"/>
      <c r="P1036" s="110">
        <v>27.061579999999999</v>
      </c>
      <c r="Q1036" s="110"/>
      <c r="R1036" s="110"/>
      <c r="S1036" s="110"/>
      <c r="T1036" s="110"/>
    </row>
    <row r="1037" spans="1:20">
      <c r="A1037" s="110" t="s">
        <v>44</v>
      </c>
      <c r="B1037" s="110" t="s">
        <v>106</v>
      </c>
      <c r="C1037" s="110">
        <v>10795</v>
      </c>
      <c r="D1037" s="110">
        <v>20.160979999999999</v>
      </c>
      <c r="E1037" s="110">
        <v>5200</v>
      </c>
      <c r="F1037" s="110">
        <v>323.14999999999998</v>
      </c>
      <c r="G1037" s="110">
        <v>0.90600893860030307</v>
      </c>
      <c r="H1037" s="110">
        <v>1.4089321062599003</v>
      </c>
      <c r="I1037" s="110">
        <v>8731.8259999999991</v>
      </c>
      <c r="J1037" s="110">
        <v>370.97190000000001</v>
      </c>
      <c r="K1037" s="110">
        <v>0.92158925925565549</v>
      </c>
      <c r="L1037" s="110">
        <v>1.3919676504013221</v>
      </c>
      <c r="M1037" s="110"/>
      <c r="N1037" s="110"/>
      <c r="O1037" s="110"/>
      <c r="P1037" s="110">
        <v>27.987459999999999</v>
      </c>
      <c r="Q1037" s="110"/>
      <c r="R1037" s="110"/>
      <c r="S1037" s="110"/>
      <c r="T1037" s="110"/>
    </row>
    <row r="1038" spans="1:20">
      <c r="A1038" s="110" t="s">
        <v>44</v>
      </c>
      <c r="B1038" s="110" t="s">
        <v>106</v>
      </c>
      <c r="C1038" s="110">
        <v>10795</v>
      </c>
      <c r="D1038" s="110">
        <v>20.160979999999999</v>
      </c>
      <c r="E1038" s="110">
        <v>5200</v>
      </c>
      <c r="F1038" s="110">
        <v>323.14999999999998</v>
      </c>
      <c r="G1038" s="110">
        <v>0.90600893860030307</v>
      </c>
      <c r="H1038" s="110">
        <v>1.4089321062599003</v>
      </c>
      <c r="I1038" s="110">
        <v>8421.7090000000007</v>
      </c>
      <c r="J1038" s="110">
        <v>368.91309999999999</v>
      </c>
      <c r="K1038" s="110">
        <v>0.91979263628546659</v>
      </c>
      <c r="L1038" s="110">
        <v>1.3939727369434627</v>
      </c>
      <c r="M1038" s="110"/>
      <c r="N1038" s="110"/>
      <c r="O1038" s="110"/>
      <c r="P1038" s="110">
        <v>29.249040000000001</v>
      </c>
      <c r="Q1038" s="110"/>
      <c r="R1038" s="110"/>
      <c r="S1038" s="110"/>
      <c r="T1038" s="110"/>
    </row>
    <row r="1039" spans="1:20">
      <c r="A1039" s="110" t="s">
        <v>44</v>
      </c>
      <c r="B1039" s="110" t="s">
        <v>106</v>
      </c>
      <c r="C1039" s="110">
        <v>10795</v>
      </c>
      <c r="D1039" s="110">
        <v>20.160979999999999</v>
      </c>
      <c r="E1039" s="110">
        <v>5200</v>
      </c>
      <c r="F1039" s="110">
        <v>323.14999999999998</v>
      </c>
      <c r="G1039" s="110">
        <v>0.90600893860030307</v>
      </c>
      <c r="H1039" s="110">
        <v>1.4089321062599003</v>
      </c>
      <c r="I1039" s="110">
        <v>8246.2810000000009</v>
      </c>
      <c r="J1039" s="110">
        <v>367.8141</v>
      </c>
      <c r="K1039" s="110">
        <v>0.92012838972592914</v>
      </c>
      <c r="L1039" s="110">
        <v>1.384542994676847</v>
      </c>
      <c r="M1039" s="110"/>
      <c r="N1039" s="110"/>
      <c r="O1039" s="110"/>
      <c r="P1039" s="110">
        <v>29.860379999999999</v>
      </c>
      <c r="Q1039" s="110"/>
      <c r="R1039" s="110"/>
      <c r="S1039" s="110"/>
      <c r="T1039" s="110"/>
    </row>
    <row r="1040" spans="1:20">
      <c r="A1040" s="110" t="s">
        <v>44</v>
      </c>
      <c r="B1040" s="110" t="s">
        <v>106</v>
      </c>
      <c r="C1040" s="110">
        <v>10795</v>
      </c>
      <c r="D1040" s="110">
        <v>20.160979999999999</v>
      </c>
      <c r="E1040" s="110">
        <v>5200</v>
      </c>
      <c r="F1040" s="110">
        <v>323.14999999999998</v>
      </c>
      <c r="G1040" s="110">
        <v>0.90600893860030307</v>
      </c>
      <c r="H1040" s="110">
        <v>1.4089321062599003</v>
      </c>
      <c r="I1040" s="110">
        <v>7931.5050000000001</v>
      </c>
      <c r="J1040" s="110">
        <v>365.90230000000003</v>
      </c>
      <c r="K1040" s="110">
        <v>0.92197552907336267</v>
      </c>
      <c r="L1040" s="110">
        <v>1.3870601454176028</v>
      </c>
      <c r="M1040" s="110"/>
      <c r="N1040" s="110"/>
      <c r="O1040" s="110"/>
      <c r="P1040" s="110">
        <v>30.81315</v>
      </c>
      <c r="Q1040" s="110"/>
      <c r="R1040" s="110"/>
      <c r="S1040" s="110"/>
      <c r="T1040" s="110"/>
    </row>
    <row r="1041" spans="1:20">
      <c r="A1041" s="110" t="s">
        <v>44</v>
      </c>
      <c r="B1041" s="110" t="s">
        <v>106</v>
      </c>
      <c r="C1041" s="110">
        <v>10795</v>
      </c>
      <c r="D1041" s="110">
        <v>20.160979999999999</v>
      </c>
      <c r="E1041" s="110">
        <v>5200</v>
      </c>
      <c r="F1041" s="110">
        <v>323.14999999999998</v>
      </c>
      <c r="G1041" s="110">
        <v>0.90600893860030307</v>
      </c>
      <c r="H1041" s="110">
        <v>1.4089321062599003</v>
      </c>
      <c r="I1041" s="110">
        <v>7763.5180000000009</v>
      </c>
      <c r="J1041" s="110">
        <v>364.91879999999998</v>
      </c>
      <c r="K1041" s="110">
        <v>0.92178573935583541</v>
      </c>
      <c r="L1041" s="110">
        <v>1.3879449708419345</v>
      </c>
      <c r="M1041" s="110"/>
      <c r="N1041" s="110"/>
      <c r="O1041" s="110"/>
      <c r="P1041" s="110">
        <v>31.255490000000002</v>
      </c>
      <c r="Q1041" s="110"/>
      <c r="R1041" s="110"/>
      <c r="S1041" s="110"/>
      <c r="T1041" s="110"/>
    </row>
    <row r="1042" spans="1:20">
      <c r="A1042" s="110" t="s">
        <v>44</v>
      </c>
      <c r="B1042" s="110" t="s">
        <v>106</v>
      </c>
      <c r="C1042" s="110">
        <v>10795</v>
      </c>
      <c r="D1042" s="110">
        <v>20.160979999999999</v>
      </c>
      <c r="E1042" s="110">
        <v>5200</v>
      </c>
      <c r="F1042" s="110">
        <v>323.14999999999998</v>
      </c>
      <c r="G1042" s="110">
        <v>0.90600893860030307</v>
      </c>
      <c r="H1042" s="110">
        <v>1.4089321062599003</v>
      </c>
      <c r="I1042" s="110">
        <v>7449.1389999999992</v>
      </c>
      <c r="J1042" s="110">
        <v>363.11649999999997</v>
      </c>
      <c r="K1042" s="110">
        <v>0.921430411634652</v>
      </c>
      <c r="L1042" s="110">
        <v>1.3753418052971162</v>
      </c>
      <c r="M1042" s="110"/>
      <c r="N1042" s="110"/>
      <c r="O1042" s="110"/>
      <c r="P1042" s="110">
        <v>31.980879999999999</v>
      </c>
      <c r="Q1042" s="110"/>
      <c r="R1042" s="110"/>
      <c r="S1042" s="110"/>
      <c r="T1042" s="110"/>
    </row>
    <row r="1043" spans="1:20">
      <c r="A1043" s="110" t="s">
        <v>44</v>
      </c>
      <c r="B1043" s="110" t="s">
        <v>106</v>
      </c>
      <c r="C1043" s="110">
        <v>10795</v>
      </c>
      <c r="D1043" s="110">
        <v>20.160979999999999</v>
      </c>
      <c r="E1043" s="110">
        <v>5200</v>
      </c>
      <c r="F1043" s="110">
        <v>323.14999999999998</v>
      </c>
      <c r="G1043" s="110">
        <v>0.90600893860030307</v>
      </c>
      <c r="H1043" s="110">
        <v>1.4089321062599003</v>
      </c>
      <c r="I1043" s="110">
        <v>7290.7309999999998</v>
      </c>
      <c r="J1043" s="110">
        <v>362.214</v>
      </c>
      <c r="K1043" s="110">
        <v>0.92316212583894797</v>
      </c>
      <c r="L1043" s="110">
        <v>1.3757135305801693</v>
      </c>
      <c r="M1043" s="110"/>
      <c r="N1043" s="110"/>
      <c r="O1043" s="110"/>
      <c r="P1043" s="110">
        <v>32.316409999999998</v>
      </c>
      <c r="Q1043" s="110"/>
      <c r="R1043" s="110"/>
      <c r="S1043" s="110"/>
      <c r="T1043" s="110"/>
    </row>
    <row r="1044" spans="1:20">
      <c r="A1044" s="110" t="s">
        <v>44</v>
      </c>
      <c r="B1044" s="110" t="s">
        <v>106</v>
      </c>
      <c r="C1044" s="110">
        <v>10795</v>
      </c>
      <c r="D1044" s="110">
        <v>20.160979999999999</v>
      </c>
      <c r="E1044" s="110">
        <v>5200</v>
      </c>
      <c r="F1044" s="110">
        <v>323.14999999999998</v>
      </c>
      <c r="G1044" s="110">
        <v>0.90600893860030307</v>
      </c>
      <c r="H1044" s="110">
        <v>1.4089321062599003</v>
      </c>
      <c r="I1044" s="110">
        <v>7138.0450000000001</v>
      </c>
      <c r="J1044" s="110">
        <v>361.346</v>
      </c>
      <c r="K1044" s="110">
        <v>0.92395010817333578</v>
      </c>
      <c r="L1044" s="110">
        <v>1.376022306951195</v>
      </c>
      <c r="M1044" s="110"/>
      <c r="N1044" s="110"/>
      <c r="O1044" s="110"/>
      <c r="P1044" s="110">
        <v>32.625340000000001</v>
      </c>
      <c r="Q1044" s="110"/>
      <c r="R1044" s="110"/>
      <c r="S1044" s="110"/>
      <c r="T1044" s="110"/>
    </row>
    <row r="1045" spans="1:20">
      <c r="A1045" s="110" t="s">
        <v>44</v>
      </c>
      <c r="B1045" s="110" t="s">
        <v>106</v>
      </c>
      <c r="C1045" s="110">
        <v>10795</v>
      </c>
      <c r="D1045" s="110">
        <v>20.160979999999999</v>
      </c>
      <c r="E1045" s="110">
        <v>5200</v>
      </c>
      <c r="F1045" s="110">
        <v>323.14999999999998</v>
      </c>
      <c r="G1045" s="110">
        <v>0.90600893860030307</v>
      </c>
      <c r="H1045" s="110">
        <v>1.4089321062599003</v>
      </c>
      <c r="I1045" s="110">
        <v>7077.3470000000007</v>
      </c>
      <c r="J1045" s="110">
        <v>361.0027</v>
      </c>
      <c r="K1045" s="110">
        <v>0.9240243666047937</v>
      </c>
      <c r="L1045" s="110">
        <v>1.3761347047801835</v>
      </c>
      <c r="M1045" s="110"/>
      <c r="N1045" s="110"/>
      <c r="O1045" s="110"/>
      <c r="P1045" s="110">
        <v>32.74212</v>
      </c>
      <c r="Q1045" s="110"/>
      <c r="R1045" s="110"/>
      <c r="S1045" s="110"/>
      <c r="T1045" s="110"/>
    </row>
    <row r="1046" spans="1:20">
      <c r="A1046" s="110" t="s">
        <v>44</v>
      </c>
      <c r="B1046" s="110" t="s">
        <v>106</v>
      </c>
      <c r="C1046" s="110">
        <v>10160</v>
      </c>
      <c r="D1046" s="110">
        <v>20.160979999999999</v>
      </c>
      <c r="E1046" s="110">
        <v>5200</v>
      </c>
      <c r="F1046" s="110">
        <v>323.14999999999998</v>
      </c>
      <c r="G1046" s="110">
        <v>0.90600893860030307</v>
      </c>
      <c r="H1046" s="110">
        <v>1.4089321062599003</v>
      </c>
      <c r="I1046" s="110">
        <v>9292.84</v>
      </c>
      <c r="J1046" s="110">
        <v>376.79059999999998</v>
      </c>
      <c r="K1046" s="110">
        <v>0.92225261309193429</v>
      </c>
      <c r="L1046" s="110">
        <v>1.3958626986060712</v>
      </c>
      <c r="M1046" s="110"/>
      <c r="N1046" s="110"/>
      <c r="O1046" s="110"/>
      <c r="P1046" s="110">
        <v>16.44679</v>
      </c>
      <c r="Q1046" s="110"/>
      <c r="R1046" s="110"/>
      <c r="S1046" s="110"/>
      <c r="T1046" s="110"/>
    </row>
    <row r="1047" spans="1:20">
      <c r="A1047" s="110" t="s">
        <v>44</v>
      </c>
      <c r="B1047" s="110" t="s">
        <v>106</v>
      </c>
      <c r="C1047" s="110">
        <v>10160</v>
      </c>
      <c r="D1047" s="110">
        <v>20.160979999999999</v>
      </c>
      <c r="E1047" s="110">
        <v>5200</v>
      </c>
      <c r="F1047" s="110">
        <v>323.14999999999998</v>
      </c>
      <c r="G1047" s="110">
        <v>0.90600893860030307</v>
      </c>
      <c r="H1047" s="110">
        <v>1.4089321062599003</v>
      </c>
      <c r="I1047" s="110">
        <v>9285.152</v>
      </c>
      <c r="J1047" s="110">
        <v>376.65890000000002</v>
      </c>
      <c r="K1047" s="110">
        <v>0.92207992251826665</v>
      </c>
      <c r="L1047" s="110">
        <v>1.396142369280253</v>
      </c>
      <c r="M1047" s="110"/>
      <c r="N1047" s="110"/>
      <c r="O1047" s="110"/>
      <c r="P1047" s="110">
        <v>16.572089999999999</v>
      </c>
      <c r="Q1047" s="110"/>
      <c r="R1047" s="110"/>
      <c r="S1047" s="110"/>
      <c r="T1047" s="110"/>
    </row>
    <row r="1048" spans="1:20">
      <c r="A1048" s="110" t="s">
        <v>44</v>
      </c>
      <c r="B1048" s="110" t="s">
        <v>106</v>
      </c>
      <c r="C1048" s="110">
        <v>10160</v>
      </c>
      <c r="D1048" s="110">
        <v>20.160979999999999</v>
      </c>
      <c r="E1048" s="110">
        <v>5200</v>
      </c>
      <c r="F1048" s="110">
        <v>323.14999999999998</v>
      </c>
      <c r="G1048" s="110">
        <v>0.90600893860030307</v>
      </c>
      <c r="H1048" s="110">
        <v>1.4089321062599003</v>
      </c>
      <c r="I1048" s="110">
        <v>9272.92</v>
      </c>
      <c r="J1048" s="110">
        <v>376.45060000000001</v>
      </c>
      <c r="K1048" s="110">
        <v>0.92180420125072859</v>
      </c>
      <c r="L1048" s="110">
        <v>1.3965850266752078</v>
      </c>
      <c r="M1048" s="110"/>
      <c r="N1048" s="110"/>
      <c r="O1048" s="110"/>
      <c r="P1048" s="110">
        <v>16.773669999999999</v>
      </c>
      <c r="Q1048" s="110"/>
      <c r="R1048" s="110"/>
      <c r="S1048" s="110"/>
      <c r="T1048" s="110"/>
    </row>
    <row r="1049" spans="1:20">
      <c r="A1049" s="110" t="s">
        <v>44</v>
      </c>
      <c r="B1049" s="110" t="s">
        <v>106</v>
      </c>
      <c r="C1049" s="110">
        <v>10160</v>
      </c>
      <c r="D1049" s="110">
        <v>20.160979999999999</v>
      </c>
      <c r="E1049" s="110">
        <v>5200</v>
      </c>
      <c r="F1049" s="110">
        <v>323.14999999999998</v>
      </c>
      <c r="G1049" s="110">
        <v>0.90600893860030307</v>
      </c>
      <c r="H1049" s="110">
        <v>1.4089321062599003</v>
      </c>
      <c r="I1049" s="110">
        <v>9214.5239999999994</v>
      </c>
      <c r="J1049" s="110">
        <v>375.5292</v>
      </c>
      <c r="K1049" s="110">
        <v>0.92117635587565416</v>
      </c>
      <c r="L1049" s="110">
        <v>1.3851208616421089</v>
      </c>
      <c r="M1049" s="110"/>
      <c r="N1049" s="110"/>
      <c r="O1049" s="110"/>
      <c r="P1049" s="110">
        <v>17.650189999999998</v>
      </c>
      <c r="Q1049" s="110"/>
      <c r="R1049" s="110"/>
      <c r="S1049" s="110"/>
      <c r="T1049" s="110"/>
    </row>
    <row r="1050" spans="1:20">
      <c r="A1050" s="110" t="s">
        <v>44</v>
      </c>
      <c r="B1050" s="110" t="s">
        <v>106</v>
      </c>
      <c r="C1050" s="110">
        <v>10160</v>
      </c>
      <c r="D1050" s="110">
        <v>20.160979999999999</v>
      </c>
      <c r="E1050" s="110">
        <v>5200</v>
      </c>
      <c r="F1050" s="110">
        <v>323.14999999999998</v>
      </c>
      <c r="G1050" s="110">
        <v>0.90600893860030307</v>
      </c>
      <c r="H1050" s="110">
        <v>1.4089321062599003</v>
      </c>
      <c r="I1050" s="110">
        <v>9102.5069999999996</v>
      </c>
      <c r="J1050" s="110">
        <v>373.98200000000003</v>
      </c>
      <c r="K1050" s="110">
        <v>0.92124288946870447</v>
      </c>
      <c r="L1050" s="110">
        <v>1.3880224846854678</v>
      </c>
      <c r="M1050" s="110"/>
      <c r="N1050" s="110"/>
      <c r="O1050" s="110"/>
      <c r="P1050" s="110">
        <v>19.104179999999999</v>
      </c>
      <c r="Q1050" s="110"/>
      <c r="R1050" s="110"/>
      <c r="S1050" s="110"/>
      <c r="T1050" s="110"/>
    </row>
    <row r="1051" spans="1:20">
      <c r="A1051" s="110" t="s">
        <v>44</v>
      </c>
      <c r="B1051" s="110" t="s">
        <v>106</v>
      </c>
      <c r="C1051" s="110">
        <v>10160</v>
      </c>
      <c r="D1051" s="110">
        <v>20.160979999999999</v>
      </c>
      <c r="E1051" s="110">
        <v>5200</v>
      </c>
      <c r="F1051" s="110">
        <v>323.14999999999998</v>
      </c>
      <c r="G1051" s="110">
        <v>0.90600893860030307</v>
      </c>
      <c r="H1051" s="110">
        <v>1.4089321062599003</v>
      </c>
      <c r="I1051" s="110">
        <v>8913.5660000000007</v>
      </c>
      <c r="J1051" s="110">
        <v>371.8116</v>
      </c>
      <c r="K1051" s="110">
        <v>0.92115392712874389</v>
      </c>
      <c r="L1051" s="110">
        <v>1.39177944152247</v>
      </c>
      <c r="M1051" s="110"/>
      <c r="N1051" s="110"/>
      <c r="O1051" s="110"/>
      <c r="P1051" s="110">
        <v>21.04514</v>
      </c>
      <c r="Q1051" s="110"/>
      <c r="R1051" s="110"/>
      <c r="S1051" s="110"/>
      <c r="T1051" s="110"/>
    </row>
    <row r="1052" spans="1:20">
      <c r="A1052" s="110" t="s">
        <v>44</v>
      </c>
      <c r="B1052" s="110" t="s">
        <v>106</v>
      </c>
      <c r="C1052" s="110">
        <v>10160</v>
      </c>
      <c r="D1052" s="110">
        <v>20.160979999999999</v>
      </c>
      <c r="E1052" s="110">
        <v>5200</v>
      </c>
      <c r="F1052" s="110">
        <v>323.14999999999998</v>
      </c>
      <c r="G1052" s="110">
        <v>0.90600893860030307</v>
      </c>
      <c r="H1052" s="110">
        <v>1.4089321062599003</v>
      </c>
      <c r="I1052" s="110">
        <v>8723.3250000000007</v>
      </c>
      <c r="J1052" s="110">
        <v>369.92880000000002</v>
      </c>
      <c r="K1052" s="110">
        <v>0.92053043638260257</v>
      </c>
      <c r="L1052" s="110">
        <v>1.394743255555172</v>
      </c>
      <c r="M1052" s="110"/>
      <c r="N1052" s="110"/>
      <c r="O1052" s="110"/>
      <c r="P1052" s="110">
        <v>22.651910000000001</v>
      </c>
      <c r="Q1052" s="110"/>
      <c r="R1052" s="110"/>
      <c r="S1052" s="110"/>
      <c r="T1052" s="110"/>
    </row>
    <row r="1053" spans="1:20">
      <c r="A1053" s="110" t="s">
        <v>44</v>
      </c>
      <c r="B1053" s="110" t="s">
        <v>106</v>
      </c>
      <c r="C1053" s="110">
        <v>10160</v>
      </c>
      <c r="D1053" s="110">
        <v>20.160979999999999</v>
      </c>
      <c r="E1053" s="110">
        <v>5200</v>
      </c>
      <c r="F1053" s="110">
        <v>323.14999999999998</v>
      </c>
      <c r="G1053" s="110">
        <v>0.90600893860030307</v>
      </c>
      <c r="H1053" s="110">
        <v>1.4089321062599003</v>
      </c>
      <c r="I1053" s="110">
        <v>8522.9349999999995</v>
      </c>
      <c r="J1053" s="110">
        <v>368.17849999999999</v>
      </c>
      <c r="K1053" s="110">
        <v>0.91909720706978582</v>
      </c>
      <c r="L1053" s="110">
        <v>1.3972819577354003</v>
      </c>
      <c r="M1053" s="110"/>
      <c r="N1053" s="110"/>
      <c r="O1053" s="110"/>
      <c r="P1053" s="110">
        <v>24.053930000000001</v>
      </c>
      <c r="Q1053" s="110"/>
      <c r="R1053" s="110"/>
      <c r="S1053" s="110"/>
      <c r="T1053" s="110"/>
    </row>
    <row r="1054" spans="1:20">
      <c r="A1054" s="110" t="s">
        <v>44</v>
      </c>
      <c r="B1054" s="110" t="s">
        <v>106</v>
      </c>
      <c r="C1054" s="110">
        <v>10160</v>
      </c>
      <c r="D1054" s="110">
        <v>20.160979999999999</v>
      </c>
      <c r="E1054" s="110">
        <v>5200</v>
      </c>
      <c r="F1054" s="110">
        <v>323.14999999999998</v>
      </c>
      <c r="G1054" s="110">
        <v>0.90600893860030307</v>
      </c>
      <c r="H1054" s="110">
        <v>1.4089321062599003</v>
      </c>
      <c r="I1054" s="110">
        <v>8292.9279999999999</v>
      </c>
      <c r="J1054" s="110">
        <v>366.3827</v>
      </c>
      <c r="K1054" s="110">
        <v>0.91770214157119878</v>
      </c>
      <c r="L1054" s="110">
        <v>1.3859432202876569</v>
      </c>
      <c r="M1054" s="110"/>
      <c r="N1054" s="110"/>
      <c r="O1054" s="110"/>
      <c r="P1054" s="110">
        <v>25.35774</v>
      </c>
      <c r="Q1054" s="110"/>
      <c r="R1054" s="110"/>
      <c r="S1054" s="110"/>
      <c r="T1054" s="110"/>
    </row>
    <row r="1055" spans="1:20">
      <c r="A1055" s="110" t="s">
        <v>44</v>
      </c>
      <c r="B1055" s="110" t="s">
        <v>106</v>
      </c>
      <c r="C1055" s="110">
        <v>10160</v>
      </c>
      <c r="D1055" s="110">
        <v>20.160979999999999</v>
      </c>
      <c r="E1055" s="110">
        <v>5200</v>
      </c>
      <c r="F1055" s="110">
        <v>323.14999999999998</v>
      </c>
      <c r="G1055" s="110">
        <v>0.90600893860030307</v>
      </c>
      <c r="H1055" s="110">
        <v>1.4089321062599003</v>
      </c>
      <c r="I1055" s="110">
        <v>8182.1209999999992</v>
      </c>
      <c r="J1055" s="110">
        <v>365.5659</v>
      </c>
      <c r="K1055" s="110">
        <v>0.91870362231388414</v>
      </c>
      <c r="L1055" s="110">
        <v>1.3871887831213547</v>
      </c>
      <c r="M1055" s="110"/>
      <c r="N1055" s="110"/>
      <c r="O1055" s="110"/>
      <c r="P1055" s="110">
        <v>25.910409999999999</v>
      </c>
      <c r="Q1055" s="110"/>
      <c r="R1055" s="110"/>
      <c r="S1055" s="110"/>
      <c r="T1055" s="110"/>
    </row>
    <row r="1056" spans="1:20">
      <c r="A1056" s="110" t="s">
        <v>44</v>
      </c>
      <c r="B1056" s="110" t="s">
        <v>106</v>
      </c>
      <c r="C1056" s="110">
        <v>10160</v>
      </c>
      <c r="D1056" s="110">
        <v>20.160979999999999</v>
      </c>
      <c r="E1056" s="110">
        <v>5200</v>
      </c>
      <c r="F1056" s="110">
        <v>323.14999999999998</v>
      </c>
      <c r="G1056" s="110">
        <v>0.90600893860030307</v>
      </c>
      <c r="H1056" s="110">
        <v>1.4089321062599003</v>
      </c>
      <c r="I1056" s="110">
        <v>8089.067</v>
      </c>
      <c r="J1056" s="110">
        <v>364.90609999999998</v>
      </c>
      <c r="K1056" s="110">
        <v>0.91929125259523226</v>
      </c>
      <c r="L1056" s="110">
        <v>1.3882397403667084</v>
      </c>
      <c r="M1056" s="110"/>
      <c r="N1056" s="110"/>
      <c r="O1056" s="110"/>
      <c r="P1056" s="110">
        <v>26.336770000000001</v>
      </c>
      <c r="Q1056" s="110"/>
      <c r="R1056" s="110"/>
      <c r="S1056" s="110"/>
      <c r="T1056" s="110"/>
    </row>
    <row r="1057" spans="1:20">
      <c r="A1057" s="110" t="s">
        <v>44</v>
      </c>
      <c r="B1057" s="110" t="s">
        <v>106</v>
      </c>
      <c r="C1057" s="110">
        <v>10160</v>
      </c>
      <c r="D1057" s="110">
        <v>20.160979999999999</v>
      </c>
      <c r="E1057" s="110">
        <v>5200</v>
      </c>
      <c r="F1057" s="110">
        <v>323.14999999999998</v>
      </c>
      <c r="G1057" s="110">
        <v>0.90600893860030307</v>
      </c>
      <c r="H1057" s="110">
        <v>1.4089321062599003</v>
      </c>
      <c r="I1057" s="110">
        <v>7921.683</v>
      </c>
      <c r="J1057" s="110">
        <v>363.76960000000003</v>
      </c>
      <c r="K1057" s="110">
        <v>0.91975398120162699</v>
      </c>
      <c r="L1057" s="110">
        <v>1.3901549508965647</v>
      </c>
      <c r="M1057" s="110"/>
      <c r="N1057" s="110"/>
      <c r="O1057" s="110"/>
      <c r="P1057" s="110">
        <v>27.023119999999999</v>
      </c>
      <c r="Q1057" s="110"/>
      <c r="R1057" s="110"/>
      <c r="S1057" s="110"/>
      <c r="T1057" s="110"/>
    </row>
    <row r="1058" spans="1:20">
      <c r="A1058" s="110" t="s">
        <v>44</v>
      </c>
      <c r="B1058" s="110" t="s">
        <v>106</v>
      </c>
      <c r="C1058" s="110">
        <v>10160</v>
      </c>
      <c r="D1058" s="110">
        <v>20.160979999999999</v>
      </c>
      <c r="E1058" s="110">
        <v>5200</v>
      </c>
      <c r="F1058" s="110">
        <v>323.14999999999998</v>
      </c>
      <c r="G1058" s="110">
        <v>0.90600893860030307</v>
      </c>
      <c r="H1058" s="110">
        <v>1.4089321062599003</v>
      </c>
      <c r="I1058" s="110">
        <v>7792.3029999999999</v>
      </c>
      <c r="J1058" s="110">
        <v>362.92070000000001</v>
      </c>
      <c r="K1058" s="110">
        <v>0.9195712506746927</v>
      </c>
      <c r="L1058" s="110">
        <v>1.3916764506977455</v>
      </c>
      <c r="M1058" s="110"/>
      <c r="N1058" s="110"/>
      <c r="O1058" s="110"/>
      <c r="P1058" s="110">
        <v>27.50515</v>
      </c>
      <c r="Q1058" s="110"/>
      <c r="R1058" s="110"/>
      <c r="S1058" s="110"/>
      <c r="T1058" s="110"/>
    </row>
    <row r="1059" spans="1:20">
      <c r="A1059" s="110" t="s">
        <v>44</v>
      </c>
      <c r="B1059" s="110" t="s">
        <v>106</v>
      </c>
      <c r="C1059" s="110">
        <v>10160</v>
      </c>
      <c r="D1059" s="110">
        <v>20.160979999999999</v>
      </c>
      <c r="E1059" s="110">
        <v>5200</v>
      </c>
      <c r="F1059" s="110">
        <v>323.14999999999998</v>
      </c>
      <c r="G1059" s="110">
        <v>0.90600893860030307</v>
      </c>
      <c r="H1059" s="110">
        <v>1.4089321062599003</v>
      </c>
      <c r="I1059" s="110">
        <v>7535.3019999999997</v>
      </c>
      <c r="J1059" s="110">
        <v>361.27460000000002</v>
      </c>
      <c r="K1059" s="110">
        <v>0.91777006449830867</v>
      </c>
      <c r="L1059" s="110">
        <v>1.3948625106860935</v>
      </c>
      <c r="M1059" s="110"/>
      <c r="N1059" s="110"/>
      <c r="O1059" s="110"/>
      <c r="P1059" s="110">
        <v>28.368860000000002</v>
      </c>
      <c r="Q1059" s="110"/>
      <c r="R1059" s="110"/>
      <c r="S1059" s="110"/>
      <c r="T1059" s="110"/>
    </row>
    <row r="1060" spans="1:20">
      <c r="A1060" s="110" t="s">
        <v>44</v>
      </c>
      <c r="B1060" s="110" t="s">
        <v>106</v>
      </c>
      <c r="C1060" s="110">
        <v>10160</v>
      </c>
      <c r="D1060" s="110">
        <v>20.160979999999999</v>
      </c>
      <c r="E1060" s="110">
        <v>5200</v>
      </c>
      <c r="F1060" s="110">
        <v>323.14999999999998</v>
      </c>
      <c r="G1060" s="110">
        <v>0.90600893860030307</v>
      </c>
      <c r="H1060" s="110">
        <v>1.4089321062599003</v>
      </c>
      <c r="I1060" s="110">
        <v>7388.0080000000007</v>
      </c>
      <c r="J1060" s="110">
        <v>360.3621</v>
      </c>
      <c r="K1060" s="110">
        <v>0.91973877793522352</v>
      </c>
      <c r="L1060" s="110">
        <v>1.3815097542930115</v>
      </c>
      <c r="M1060" s="110"/>
      <c r="N1060" s="110"/>
      <c r="O1060" s="110"/>
      <c r="P1060" s="110">
        <v>28.80011</v>
      </c>
      <c r="Q1060" s="110"/>
      <c r="R1060" s="110"/>
      <c r="S1060" s="110"/>
      <c r="T1060" s="110"/>
    </row>
    <row r="1061" spans="1:20">
      <c r="A1061" s="110" t="s">
        <v>44</v>
      </c>
      <c r="B1061" s="110" t="s">
        <v>106</v>
      </c>
      <c r="C1061" s="110">
        <v>10160</v>
      </c>
      <c r="D1061" s="110">
        <v>20.160979999999999</v>
      </c>
      <c r="E1061" s="110">
        <v>5200</v>
      </c>
      <c r="F1061" s="110">
        <v>323.14999999999998</v>
      </c>
      <c r="G1061" s="110">
        <v>0.90600893860030307</v>
      </c>
      <c r="H1061" s="110">
        <v>1.4089321062599003</v>
      </c>
      <c r="I1061" s="110">
        <v>7127.0250000000005</v>
      </c>
      <c r="J1061" s="110">
        <v>358.7833</v>
      </c>
      <c r="K1061" s="110">
        <v>0.92147181020869851</v>
      </c>
      <c r="L1061" s="110">
        <v>1.3824089981459944</v>
      </c>
      <c r="M1061" s="110"/>
      <c r="N1061" s="110"/>
      <c r="O1061" s="110"/>
      <c r="P1061" s="110">
        <v>29.484110000000001</v>
      </c>
      <c r="Q1061" s="110"/>
      <c r="R1061" s="110"/>
      <c r="S1061" s="110"/>
      <c r="T1061" s="110"/>
    </row>
    <row r="1062" spans="1:20">
      <c r="A1062" s="110" t="s">
        <v>44</v>
      </c>
      <c r="B1062" s="110" t="s">
        <v>106</v>
      </c>
      <c r="C1062" s="110">
        <v>10160</v>
      </c>
      <c r="D1062" s="110">
        <v>20.160979999999999</v>
      </c>
      <c r="E1062" s="110">
        <v>5200</v>
      </c>
      <c r="F1062" s="110">
        <v>323.14999999999998</v>
      </c>
      <c r="G1062" s="110">
        <v>0.90600893860030307</v>
      </c>
      <c r="H1062" s="110">
        <v>1.4089321062599003</v>
      </c>
      <c r="I1062" s="110">
        <v>6985.9480000000003</v>
      </c>
      <c r="J1062" s="110">
        <v>357.93549999999999</v>
      </c>
      <c r="K1062" s="110">
        <v>0.92132788854885617</v>
      </c>
      <c r="L1062" s="110">
        <v>1.382923317716064</v>
      </c>
      <c r="M1062" s="110"/>
      <c r="N1062" s="110"/>
      <c r="O1062" s="110"/>
      <c r="P1062" s="110">
        <v>29.820989999999998</v>
      </c>
      <c r="Q1062" s="110"/>
      <c r="R1062" s="110"/>
      <c r="S1062" s="110"/>
      <c r="T1062" s="110"/>
    </row>
    <row r="1063" spans="1:20">
      <c r="A1063" s="110" t="s">
        <v>44</v>
      </c>
      <c r="B1063" s="110" t="s">
        <v>106</v>
      </c>
      <c r="C1063" s="110">
        <v>10160</v>
      </c>
      <c r="D1063" s="110">
        <v>20.160979999999999</v>
      </c>
      <c r="E1063" s="110">
        <v>5200</v>
      </c>
      <c r="F1063" s="110">
        <v>323.14999999999998</v>
      </c>
      <c r="G1063" s="110">
        <v>0.90600893860030307</v>
      </c>
      <c r="H1063" s="110">
        <v>1.4089321062599003</v>
      </c>
      <c r="I1063" s="110">
        <v>6921.7</v>
      </c>
      <c r="J1063" s="110">
        <v>357.55220000000003</v>
      </c>
      <c r="K1063" s="110">
        <v>0.92100626313332268</v>
      </c>
      <c r="L1063" s="110">
        <v>1.383182325328655</v>
      </c>
      <c r="M1063" s="110"/>
      <c r="N1063" s="110"/>
      <c r="O1063" s="110"/>
      <c r="P1063" s="110">
        <v>29.968170000000001</v>
      </c>
      <c r="Q1063" s="110"/>
      <c r="R1063" s="110"/>
      <c r="S1063" s="110"/>
      <c r="T1063" s="110"/>
    </row>
    <row r="1064" spans="1:20">
      <c r="A1064" s="110" t="s">
        <v>44</v>
      </c>
      <c r="B1064" s="110" t="s">
        <v>106</v>
      </c>
      <c r="C1064" s="110">
        <v>10160</v>
      </c>
      <c r="D1064" s="110">
        <v>20.160979999999999</v>
      </c>
      <c r="E1064" s="110">
        <v>5200</v>
      </c>
      <c r="F1064" s="110">
        <v>323.14999999999998</v>
      </c>
      <c r="G1064" s="110">
        <v>0.90600893860030307</v>
      </c>
      <c r="H1064" s="110">
        <v>1.4089321062599003</v>
      </c>
      <c r="I1064" s="110">
        <v>6893.1479999999992</v>
      </c>
      <c r="J1064" s="110">
        <v>357.38220000000001</v>
      </c>
      <c r="K1064" s="110">
        <v>0.92081476953081853</v>
      </c>
      <c r="L1064" s="110">
        <v>1.3833003160201676</v>
      </c>
      <c r="M1064" s="110"/>
      <c r="N1064" s="110"/>
      <c r="O1064" s="110"/>
      <c r="P1064" s="110">
        <v>30.032520000000002</v>
      </c>
      <c r="Q1064" s="110"/>
      <c r="R1064" s="110"/>
      <c r="S1064" s="110"/>
      <c r="T1064" s="110"/>
    </row>
    <row r="1065" spans="1:20">
      <c r="A1065" s="110" t="s">
        <v>44</v>
      </c>
      <c r="B1065" s="110" t="s">
        <v>106</v>
      </c>
      <c r="C1065" s="110">
        <v>10160</v>
      </c>
      <c r="D1065" s="110">
        <v>20.160979999999999</v>
      </c>
      <c r="E1065" s="110">
        <v>5200</v>
      </c>
      <c r="F1065" s="110">
        <v>323.14999999999998</v>
      </c>
      <c r="G1065" s="110">
        <v>0.90600893860030307</v>
      </c>
      <c r="H1065" s="110">
        <v>1.4089321062599003</v>
      </c>
      <c r="I1065" s="110">
        <v>6865.9120000000003</v>
      </c>
      <c r="J1065" s="110">
        <v>357.2201</v>
      </c>
      <c r="K1065" s="110">
        <v>0.92060411614168769</v>
      </c>
      <c r="L1065" s="110">
        <v>1.3834151357799822</v>
      </c>
      <c r="M1065" s="110"/>
      <c r="N1065" s="110"/>
      <c r="O1065" s="110"/>
      <c r="P1065" s="110">
        <v>30.093250000000001</v>
      </c>
      <c r="Q1065" s="110"/>
      <c r="R1065" s="110"/>
      <c r="S1065" s="110"/>
      <c r="T1065" s="110"/>
    </row>
    <row r="1066" spans="1:20">
      <c r="A1066" s="110" t="s">
        <v>44</v>
      </c>
      <c r="B1066" s="110" t="s">
        <v>106</v>
      </c>
      <c r="C1066" s="110">
        <v>9525</v>
      </c>
      <c r="D1066" s="110">
        <v>20.160979999999999</v>
      </c>
      <c r="E1066" s="110">
        <v>5200</v>
      </c>
      <c r="F1066" s="110">
        <v>323.14999999999998</v>
      </c>
      <c r="G1066" s="110">
        <v>0.90600893860030307</v>
      </c>
      <c r="H1066" s="110">
        <v>1.4089321062599003</v>
      </c>
      <c r="I1066" s="110">
        <v>8665.5010000000002</v>
      </c>
      <c r="J1066" s="110">
        <v>370.8082</v>
      </c>
      <c r="K1066" s="110">
        <v>0.92169630165251437</v>
      </c>
      <c r="L1066" s="110">
        <v>1.391630617488272</v>
      </c>
      <c r="M1066" s="110"/>
      <c r="N1066" s="110"/>
      <c r="O1066" s="110"/>
      <c r="P1066" s="110">
        <v>15.26704</v>
      </c>
      <c r="Q1066" s="110"/>
      <c r="R1066" s="110"/>
      <c r="S1066" s="110"/>
      <c r="T1066" s="110"/>
    </row>
    <row r="1067" spans="1:20">
      <c r="A1067" s="110" t="s">
        <v>44</v>
      </c>
      <c r="B1067" s="110" t="s">
        <v>106</v>
      </c>
      <c r="C1067" s="110">
        <v>9525</v>
      </c>
      <c r="D1067" s="110">
        <v>20.160979999999999</v>
      </c>
      <c r="E1067" s="110">
        <v>5200</v>
      </c>
      <c r="F1067" s="110">
        <v>323.14999999999998</v>
      </c>
      <c r="G1067" s="110">
        <v>0.90600893860030307</v>
      </c>
      <c r="H1067" s="110">
        <v>1.4089321062599003</v>
      </c>
      <c r="I1067" s="110">
        <v>8656.8739999999998</v>
      </c>
      <c r="J1067" s="110">
        <v>370.64870000000002</v>
      </c>
      <c r="K1067" s="110">
        <v>0.92155753483127301</v>
      </c>
      <c r="L1067" s="110">
        <v>1.3919691406020174</v>
      </c>
      <c r="M1067" s="110"/>
      <c r="N1067" s="110"/>
      <c r="O1067" s="110"/>
      <c r="P1067" s="110">
        <v>15.420059999999999</v>
      </c>
      <c r="Q1067" s="110"/>
      <c r="R1067" s="110"/>
      <c r="S1067" s="110"/>
      <c r="T1067" s="110"/>
    </row>
    <row r="1068" spans="1:20">
      <c r="A1068" s="110" t="s">
        <v>44</v>
      </c>
      <c r="B1068" s="110" t="s">
        <v>106</v>
      </c>
      <c r="C1068" s="110">
        <v>9525</v>
      </c>
      <c r="D1068" s="110">
        <v>20.160979999999999</v>
      </c>
      <c r="E1068" s="110">
        <v>5200</v>
      </c>
      <c r="F1068" s="110">
        <v>323.14999999999998</v>
      </c>
      <c r="G1068" s="110">
        <v>0.90600893860030307</v>
      </c>
      <c r="H1068" s="110">
        <v>1.4089321062599003</v>
      </c>
      <c r="I1068" s="110">
        <v>8648.25</v>
      </c>
      <c r="J1068" s="110">
        <v>370.49329999999998</v>
      </c>
      <c r="K1068" s="110">
        <v>0.92142131524486393</v>
      </c>
      <c r="L1068" s="110">
        <v>1.3922963021400978</v>
      </c>
      <c r="M1068" s="110"/>
      <c r="N1068" s="110"/>
      <c r="O1068" s="110"/>
      <c r="P1068" s="110">
        <v>15.568239999999999</v>
      </c>
      <c r="Q1068" s="110"/>
      <c r="R1068" s="110"/>
      <c r="S1068" s="110"/>
      <c r="T1068" s="110"/>
    </row>
    <row r="1069" spans="1:20">
      <c r="A1069" s="110" t="s">
        <v>44</v>
      </c>
      <c r="B1069" s="110" t="s">
        <v>106</v>
      </c>
      <c r="C1069" s="110">
        <v>9525</v>
      </c>
      <c r="D1069" s="110">
        <v>20.160979999999999</v>
      </c>
      <c r="E1069" s="110">
        <v>5200</v>
      </c>
      <c r="F1069" s="110">
        <v>323.14999999999998</v>
      </c>
      <c r="G1069" s="110">
        <v>0.90600893860030307</v>
      </c>
      <c r="H1069" s="110">
        <v>1.4089321062599003</v>
      </c>
      <c r="I1069" s="110">
        <v>8598.7430000000004</v>
      </c>
      <c r="J1069" s="110">
        <v>369.6644</v>
      </c>
      <c r="K1069" s="110">
        <v>0.92067190182373049</v>
      </c>
      <c r="L1069" s="110">
        <v>1.3939984533859804</v>
      </c>
      <c r="M1069" s="110"/>
      <c r="N1069" s="110"/>
      <c r="O1069" s="110"/>
      <c r="P1069" s="110">
        <v>16.35643</v>
      </c>
      <c r="Q1069" s="110"/>
      <c r="R1069" s="110"/>
      <c r="S1069" s="110"/>
      <c r="T1069" s="110"/>
    </row>
    <row r="1070" spans="1:20">
      <c r="A1070" s="110" t="s">
        <v>44</v>
      </c>
      <c r="B1070" s="110" t="s">
        <v>106</v>
      </c>
      <c r="C1070" s="110">
        <v>9525</v>
      </c>
      <c r="D1070" s="110">
        <v>20.160979999999999</v>
      </c>
      <c r="E1070" s="110">
        <v>5200</v>
      </c>
      <c r="F1070" s="110">
        <v>323.14999999999998</v>
      </c>
      <c r="G1070" s="110">
        <v>0.90600893860030307</v>
      </c>
      <c r="H1070" s="110">
        <v>1.4089321062599003</v>
      </c>
      <c r="I1070" s="110">
        <v>8504.4</v>
      </c>
      <c r="J1070" s="110">
        <v>368.29899999999998</v>
      </c>
      <c r="K1070" s="110">
        <v>0.91922971602439241</v>
      </c>
      <c r="L1070" s="110">
        <v>1.3967203086099818</v>
      </c>
      <c r="M1070" s="110"/>
      <c r="N1070" s="110"/>
      <c r="O1070" s="110"/>
      <c r="P1070" s="110">
        <v>17.626349999999999</v>
      </c>
      <c r="Q1070" s="110"/>
      <c r="R1070" s="110"/>
      <c r="S1070" s="110"/>
      <c r="T1070" s="110"/>
    </row>
    <row r="1071" spans="1:20">
      <c r="A1071" s="110" t="s">
        <v>44</v>
      </c>
      <c r="B1071" s="110" t="s">
        <v>106</v>
      </c>
      <c r="C1071" s="110">
        <v>9525</v>
      </c>
      <c r="D1071" s="110">
        <v>20.160979999999999</v>
      </c>
      <c r="E1071" s="110">
        <v>5200</v>
      </c>
      <c r="F1071" s="110">
        <v>323.14999999999998</v>
      </c>
      <c r="G1071" s="110">
        <v>0.90600893860030307</v>
      </c>
      <c r="H1071" s="110">
        <v>1.4089321062599003</v>
      </c>
      <c r="I1071" s="110">
        <v>8352.7820000000011</v>
      </c>
      <c r="J1071" s="110">
        <v>366.4348</v>
      </c>
      <c r="K1071" s="110">
        <v>0.91679615110938051</v>
      </c>
      <c r="L1071" s="110">
        <v>1.4003358269710338</v>
      </c>
      <c r="M1071" s="110"/>
      <c r="N1071" s="110"/>
      <c r="O1071" s="110"/>
      <c r="P1071" s="110">
        <v>19.284330000000001</v>
      </c>
      <c r="Q1071" s="110"/>
      <c r="R1071" s="110"/>
      <c r="S1071" s="110"/>
      <c r="T1071" s="110"/>
    </row>
    <row r="1072" spans="1:20">
      <c r="A1072" s="110" t="s">
        <v>44</v>
      </c>
      <c r="B1072" s="110" t="s">
        <v>106</v>
      </c>
      <c r="C1072" s="110">
        <v>9525</v>
      </c>
      <c r="D1072" s="110">
        <v>20.160979999999999</v>
      </c>
      <c r="E1072" s="110">
        <v>5200</v>
      </c>
      <c r="F1072" s="110">
        <v>323.14999999999998</v>
      </c>
      <c r="G1072" s="110">
        <v>0.90600893860030307</v>
      </c>
      <c r="H1072" s="110">
        <v>1.4089321062599003</v>
      </c>
      <c r="I1072" s="110">
        <v>8202.7690000000002</v>
      </c>
      <c r="J1072" s="110">
        <v>364.85120000000001</v>
      </c>
      <c r="K1072" s="110">
        <v>0.91758357567178794</v>
      </c>
      <c r="L1072" s="110">
        <v>1.3880112615042948</v>
      </c>
      <c r="M1072" s="110"/>
      <c r="N1072" s="110"/>
      <c r="O1072" s="110"/>
      <c r="P1072" s="110">
        <v>20.64002</v>
      </c>
      <c r="Q1072" s="110"/>
      <c r="R1072" s="110"/>
      <c r="S1072" s="110"/>
      <c r="T1072" s="110"/>
    </row>
    <row r="1073" spans="1:20">
      <c r="A1073" s="110" t="s">
        <v>44</v>
      </c>
      <c r="B1073" s="110" t="s">
        <v>106</v>
      </c>
      <c r="C1073" s="110">
        <v>9525</v>
      </c>
      <c r="D1073" s="110">
        <v>20.160979999999999</v>
      </c>
      <c r="E1073" s="110">
        <v>5200</v>
      </c>
      <c r="F1073" s="110">
        <v>323.14999999999998</v>
      </c>
      <c r="G1073" s="110">
        <v>0.90600893860030307</v>
      </c>
      <c r="H1073" s="110">
        <v>1.4089321062599003</v>
      </c>
      <c r="I1073" s="110">
        <v>8050.02</v>
      </c>
      <c r="J1073" s="110">
        <v>363.40780000000001</v>
      </c>
      <c r="K1073" s="110">
        <v>0.91812086081047406</v>
      </c>
      <c r="L1073" s="110">
        <v>1.3901842712388091</v>
      </c>
      <c r="M1073" s="110"/>
      <c r="N1073" s="110"/>
      <c r="O1073" s="110"/>
      <c r="P1073" s="110">
        <v>21.815650000000002</v>
      </c>
      <c r="Q1073" s="110"/>
      <c r="R1073" s="110"/>
      <c r="S1073" s="110"/>
      <c r="T1073" s="110"/>
    </row>
    <row r="1074" spans="1:20">
      <c r="A1074" s="110" t="s">
        <v>44</v>
      </c>
      <c r="B1074" s="110" t="s">
        <v>106</v>
      </c>
      <c r="C1074" s="110">
        <v>9525</v>
      </c>
      <c r="D1074" s="110">
        <v>20.160979999999999</v>
      </c>
      <c r="E1074" s="110">
        <v>5200</v>
      </c>
      <c r="F1074" s="110">
        <v>323.14999999999998</v>
      </c>
      <c r="G1074" s="110">
        <v>0.90600893860030307</v>
      </c>
      <c r="H1074" s="110">
        <v>1.4089321062599003</v>
      </c>
      <c r="I1074" s="110">
        <v>7710.2080000000005</v>
      </c>
      <c r="J1074" s="110">
        <v>360.64699999999999</v>
      </c>
      <c r="K1074" s="110">
        <v>0.917341671546552</v>
      </c>
      <c r="L1074" s="110">
        <v>1.3946263319403935</v>
      </c>
      <c r="M1074" s="110"/>
      <c r="N1074" s="110"/>
      <c r="O1074" s="110"/>
      <c r="P1074" s="110">
        <v>23.829820000000002</v>
      </c>
      <c r="Q1074" s="110"/>
      <c r="R1074" s="110"/>
      <c r="S1074" s="110"/>
      <c r="T1074" s="110"/>
    </row>
    <row r="1075" spans="1:20">
      <c r="A1075" s="110" t="s">
        <v>44</v>
      </c>
      <c r="B1075" s="110" t="s">
        <v>106</v>
      </c>
      <c r="C1075" s="110">
        <v>9525</v>
      </c>
      <c r="D1075" s="110">
        <v>20.160979999999999</v>
      </c>
      <c r="E1075" s="110">
        <v>5200</v>
      </c>
      <c r="F1075" s="110">
        <v>323.14999999999998</v>
      </c>
      <c r="G1075" s="110">
        <v>0.90600893860030307</v>
      </c>
      <c r="H1075" s="110">
        <v>1.4089321062599003</v>
      </c>
      <c r="I1075" s="110">
        <v>7314.8650000000007</v>
      </c>
      <c r="J1075" s="110">
        <v>357.82749999999999</v>
      </c>
      <c r="K1075" s="110">
        <v>0.91827352983104693</v>
      </c>
      <c r="L1075" s="110">
        <v>1.3869998924529743</v>
      </c>
      <c r="M1075" s="110"/>
      <c r="N1075" s="110"/>
      <c r="O1075" s="110"/>
      <c r="P1075" s="110">
        <v>25.55423</v>
      </c>
      <c r="Q1075" s="110"/>
      <c r="R1075" s="110"/>
      <c r="S1075" s="110"/>
      <c r="T1075" s="110"/>
    </row>
    <row r="1076" spans="1:20">
      <c r="A1076" s="110" t="s">
        <v>44</v>
      </c>
      <c r="B1076" s="110" t="s">
        <v>106</v>
      </c>
      <c r="C1076" s="110">
        <v>9525</v>
      </c>
      <c r="D1076" s="110">
        <v>20.160979999999999</v>
      </c>
      <c r="E1076" s="110">
        <v>5200</v>
      </c>
      <c r="F1076" s="110">
        <v>323.14999999999998</v>
      </c>
      <c r="G1076" s="110">
        <v>0.90600893860030307</v>
      </c>
      <c r="H1076" s="110">
        <v>1.4089321062599003</v>
      </c>
      <c r="I1076" s="110">
        <v>7160.1119999999992</v>
      </c>
      <c r="J1076" s="110">
        <v>356.80059999999997</v>
      </c>
      <c r="K1076" s="110">
        <v>0.91904164250960219</v>
      </c>
      <c r="L1076" s="110">
        <v>1.3879428624678594</v>
      </c>
      <c r="M1076" s="110"/>
      <c r="N1076" s="110"/>
      <c r="O1076" s="110"/>
      <c r="P1076" s="110">
        <v>26.09967</v>
      </c>
      <c r="Q1076" s="110"/>
      <c r="R1076" s="110"/>
      <c r="S1076" s="110"/>
      <c r="T1076" s="110"/>
    </row>
    <row r="1077" spans="1:20">
      <c r="A1077" s="110" t="s">
        <v>44</v>
      </c>
      <c r="B1077" s="110" t="s">
        <v>106</v>
      </c>
      <c r="C1077" s="110">
        <v>9525</v>
      </c>
      <c r="D1077" s="110">
        <v>20.160979999999999</v>
      </c>
      <c r="E1077" s="110">
        <v>5200</v>
      </c>
      <c r="F1077" s="110">
        <v>323.14999999999998</v>
      </c>
      <c r="G1077" s="110">
        <v>0.90600893860030307</v>
      </c>
      <c r="H1077" s="110">
        <v>1.4089321062599003</v>
      </c>
      <c r="I1077" s="110">
        <v>7117.6860000000006</v>
      </c>
      <c r="J1077" s="110">
        <v>356.52620000000002</v>
      </c>
      <c r="K1077" s="110">
        <v>0.91910620360715711</v>
      </c>
      <c r="L1077" s="110">
        <v>1.3881890453628913</v>
      </c>
      <c r="M1077" s="110"/>
      <c r="N1077" s="110"/>
      <c r="O1077" s="110"/>
      <c r="P1077" s="110">
        <v>26.23817</v>
      </c>
      <c r="Q1077" s="110"/>
      <c r="R1077" s="110"/>
      <c r="S1077" s="110"/>
      <c r="T1077" s="110"/>
    </row>
    <row r="1078" spans="1:20">
      <c r="A1078" s="110" t="s">
        <v>44</v>
      </c>
      <c r="B1078" s="110" t="s">
        <v>106</v>
      </c>
      <c r="C1078" s="110">
        <v>9525</v>
      </c>
      <c r="D1078" s="110">
        <v>20.160979999999999</v>
      </c>
      <c r="E1078" s="110">
        <v>5200</v>
      </c>
      <c r="F1078" s="110">
        <v>323.14999999999998</v>
      </c>
      <c r="G1078" s="110">
        <v>0.90600893860030307</v>
      </c>
      <c r="H1078" s="110">
        <v>1.4089321062599003</v>
      </c>
      <c r="I1078" s="110">
        <v>6863.3219999999992</v>
      </c>
      <c r="J1078" s="110">
        <v>354.90519999999998</v>
      </c>
      <c r="K1078" s="110">
        <v>0.9181299103884758</v>
      </c>
      <c r="L1078" s="110">
        <v>1.3897021437234001</v>
      </c>
      <c r="M1078" s="110"/>
      <c r="N1078" s="110"/>
      <c r="O1078" s="110"/>
      <c r="P1078" s="110">
        <v>27.012840000000001</v>
      </c>
      <c r="Q1078" s="110"/>
      <c r="R1078" s="110"/>
      <c r="S1078" s="110"/>
      <c r="T1078" s="110"/>
    </row>
    <row r="1079" spans="1:20">
      <c r="A1079" s="110" t="s">
        <v>44</v>
      </c>
      <c r="B1079" s="110" t="s">
        <v>106</v>
      </c>
      <c r="C1079" s="110">
        <v>9525</v>
      </c>
      <c r="D1079" s="110">
        <v>20.160979999999999</v>
      </c>
      <c r="E1079" s="110">
        <v>5200</v>
      </c>
      <c r="F1079" s="110">
        <v>323.14999999999998</v>
      </c>
      <c r="G1079" s="110">
        <v>0.90600893860030307</v>
      </c>
      <c r="H1079" s="110">
        <v>1.4089321062599003</v>
      </c>
      <c r="I1079" s="110">
        <v>6723.7860000000001</v>
      </c>
      <c r="J1079" s="110">
        <v>354.04239999999999</v>
      </c>
      <c r="K1079" s="110">
        <v>0.91884769104527875</v>
      </c>
      <c r="L1079" s="110">
        <v>1.375222330751261</v>
      </c>
      <c r="M1079" s="110"/>
      <c r="N1079" s="110"/>
      <c r="O1079" s="110"/>
      <c r="P1079" s="110">
        <v>27.387139999999999</v>
      </c>
      <c r="Q1079" s="110"/>
      <c r="R1079" s="110"/>
      <c r="S1079" s="110"/>
      <c r="T1079" s="110"/>
    </row>
    <row r="1080" spans="1:20">
      <c r="A1080" s="110" t="s">
        <v>44</v>
      </c>
      <c r="B1080" s="110" t="s">
        <v>106</v>
      </c>
      <c r="C1080" s="110">
        <v>9525</v>
      </c>
      <c r="D1080" s="110">
        <v>20.160979999999999</v>
      </c>
      <c r="E1080" s="110">
        <v>5200</v>
      </c>
      <c r="F1080" s="110">
        <v>323.14999999999998</v>
      </c>
      <c r="G1080" s="110">
        <v>0.90600893860030307</v>
      </c>
      <c r="H1080" s="110">
        <v>1.4089321062599003</v>
      </c>
      <c r="I1080" s="110">
        <v>6696.4160000000011</v>
      </c>
      <c r="J1080" s="110">
        <v>353.87490000000003</v>
      </c>
      <c r="K1080" s="110">
        <v>0.91927560339318237</v>
      </c>
      <c r="L1080" s="110">
        <v>1.3752991755602706</v>
      </c>
      <c r="M1080" s="110"/>
      <c r="N1080" s="110"/>
      <c r="O1080" s="110"/>
      <c r="P1080" s="110">
        <v>27.45739</v>
      </c>
      <c r="Q1080" s="110"/>
      <c r="R1080" s="110"/>
      <c r="S1080" s="110"/>
      <c r="T1080" s="110"/>
    </row>
    <row r="1081" spans="1:20">
      <c r="A1081" s="110" t="s">
        <v>44</v>
      </c>
      <c r="B1081" s="110" t="s">
        <v>106</v>
      </c>
      <c r="C1081" s="110">
        <v>9525</v>
      </c>
      <c r="D1081" s="110">
        <v>20.160979999999999</v>
      </c>
      <c r="E1081" s="110">
        <v>5200</v>
      </c>
      <c r="F1081" s="110">
        <v>323.14999999999998</v>
      </c>
      <c r="G1081" s="110">
        <v>0.90600893860030307</v>
      </c>
      <c r="H1081" s="110">
        <v>1.4089321062599003</v>
      </c>
      <c r="I1081" s="110">
        <v>6683.4109999999991</v>
      </c>
      <c r="J1081" s="110">
        <v>353.79559999999998</v>
      </c>
      <c r="K1081" s="110">
        <v>0.91946722667761982</v>
      </c>
      <c r="L1081" s="110">
        <v>1.37533476147163</v>
      </c>
      <c r="M1081" s="110"/>
      <c r="N1081" s="110"/>
      <c r="O1081" s="110"/>
      <c r="P1081" s="110">
        <v>27.490410000000001</v>
      </c>
      <c r="Q1081" s="110"/>
      <c r="R1081" s="110"/>
      <c r="S1081" s="110"/>
      <c r="T1081" s="110"/>
    </row>
    <row r="1082" spans="1:20">
      <c r="A1082" s="110" t="s">
        <v>44</v>
      </c>
      <c r="B1082" s="110" t="s">
        <v>106</v>
      </c>
      <c r="C1082" s="110">
        <v>8890</v>
      </c>
      <c r="D1082" s="110">
        <v>20.160979999999999</v>
      </c>
      <c r="E1082" s="110">
        <v>5200</v>
      </c>
      <c r="F1082" s="110">
        <v>323.14999999999998</v>
      </c>
      <c r="G1082" s="110">
        <v>0.90600893860030307</v>
      </c>
      <c r="H1082" s="110">
        <v>1.4089321062599003</v>
      </c>
      <c r="I1082" s="110">
        <v>8112.5460000000003</v>
      </c>
      <c r="J1082" s="110">
        <v>365.25970000000001</v>
      </c>
      <c r="K1082" s="110">
        <v>0.91937278996599148</v>
      </c>
      <c r="L1082" s="110">
        <v>1.3877612312360992</v>
      </c>
      <c r="M1082" s="110"/>
      <c r="N1082" s="110"/>
      <c r="O1082" s="110"/>
      <c r="P1082" s="110">
        <v>14.08901</v>
      </c>
      <c r="Q1082" s="110"/>
      <c r="R1082" s="110"/>
      <c r="S1082" s="110"/>
      <c r="T1082" s="110"/>
    </row>
    <row r="1083" spans="1:20">
      <c r="A1083" s="110" t="s">
        <v>44</v>
      </c>
      <c r="B1083" s="110" t="s">
        <v>106</v>
      </c>
      <c r="C1083" s="110">
        <v>8890</v>
      </c>
      <c r="D1083" s="110">
        <v>20.160979999999999</v>
      </c>
      <c r="E1083" s="110">
        <v>5200</v>
      </c>
      <c r="F1083" s="110">
        <v>323.14999999999998</v>
      </c>
      <c r="G1083" s="110">
        <v>0.90600893860030307</v>
      </c>
      <c r="H1083" s="110">
        <v>1.4089321062599003</v>
      </c>
      <c r="I1083" s="110">
        <v>8102.0810000000001</v>
      </c>
      <c r="J1083" s="110">
        <v>365.05990000000003</v>
      </c>
      <c r="K1083" s="110">
        <v>0.9192921095544383</v>
      </c>
      <c r="L1083" s="110">
        <v>1.3880215067651389</v>
      </c>
      <c r="M1083" s="110"/>
      <c r="N1083" s="110"/>
      <c r="O1083" s="110"/>
      <c r="P1083" s="110">
        <v>14.277150000000001</v>
      </c>
      <c r="Q1083" s="110"/>
      <c r="R1083" s="110"/>
      <c r="S1083" s="110"/>
      <c r="T1083" s="110"/>
    </row>
    <row r="1084" spans="1:20">
      <c r="A1084" s="110" t="s">
        <v>44</v>
      </c>
      <c r="B1084" s="110" t="s">
        <v>106</v>
      </c>
      <c r="C1084" s="110">
        <v>8890</v>
      </c>
      <c r="D1084" s="110">
        <v>20.160979999999999</v>
      </c>
      <c r="E1084" s="110">
        <v>5200</v>
      </c>
      <c r="F1084" s="110">
        <v>323.14999999999998</v>
      </c>
      <c r="G1084" s="110">
        <v>0.90600893860030307</v>
      </c>
      <c r="H1084" s="110">
        <v>1.4089321062599003</v>
      </c>
      <c r="I1084" s="110">
        <v>8098.1959999999999</v>
      </c>
      <c r="J1084" s="110">
        <v>364.98649999999998</v>
      </c>
      <c r="K1084" s="110">
        <v>0.91926220754025878</v>
      </c>
      <c r="L1084" s="110">
        <v>1.3881175478431576</v>
      </c>
      <c r="M1084" s="110"/>
      <c r="N1084" s="110"/>
      <c r="O1084" s="110"/>
      <c r="P1084" s="110">
        <v>14.34775</v>
      </c>
      <c r="Q1084" s="110"/>
      <c r="R1084" s="110"/>
      <c r="S1084" s="110"/>
      <c r="T1084" s="110"/>
    </row>
    <row r="1085" spans="1:20">
      <c r="A1085" s="110" t="s">
        <v>44</v>
      </c>
      <c r="B1085" s="110" t="s">
        <v>106</v>
      </c>
      <c r="C1085" s="110">
        <v>8890</v>
      </c>
      <c r="D1085" s="110">
        <v>20.160979999999999</v>
      </c>
      <c r="E1085" s="110">
        <v>5200</v>
      </c>
      <c r="F1085" s="110">
        <v>323.14999999999998</v>
      </c>
      <c r="G1085" s="110">
        <v>0.90600893860030307</v>
      </c>
      <c r="H1085" s="110">
        <v>1.4089321062599003</v>
      </c>
      <c r="I1085" s="110">
        <v>8057.7269999999999</v>
      </c>
      <c r="J1085" s="110">
        <v>364.27260000000001</v>
      </c>
      <c r="K1085" s="110">
        <v>0.91898060117470348</v>
      </c>
      <c r="L1085" s="110">
        <v>1.389068556424649</v>
      </c>
      <c r="M1085" s="110"/>
      <c r="N1085" s="110"/>
      <c r="O1085" s="110"/>
      <c r="P1085" s="110">
        <v>15.020200000000001</v>
      </c>
      <c r="Q1085" s="110"/>
      <c r="R1085" s="110"/>
      <c r="S1085" s="110"/>
      <c r="T1085" s="110"/>
    </row>
    <row r="1086" spans="1:20">
      <c r="A1086" s="110" t="s">
        <v>44</v>
      </c>
      <c r="B1086" s="110" t="s">
        <v>106</v>
      </c>
      <c r="C1086" s="110">
        <v>8890</v>
      </c>
      <c r="D1086" s="110">
        <v>20.160979999999999</v>
      </c>
      <c r="E1086" s="110">
        <v>5200</v>
      </c>
      <c r="F1086" s="110">
        <v>323.14999999999998</v>
      </c>
      <c r="G1086" s="110">
        <v>0.90600893860030307</v>
      </c>
      <c r="H1086" s="110">
        <v>1.4089321062599003</v>
      </c>
      <c r="I1086" s="110">
        <v>7981.75</v>
      </c>
      <c r="J1086" s="110">
        <v>363.10599999999999</v>
      </c>
      <c r="K1086" s="110">
        <v>0.91851517784907133</v>
      </c>
      <c r="L1086" s="110">
        <v>1.3906842936129697</v>
      </c>
      <c r="M1086" s="110"/>
      <c r="N1086" s="110"/>
      <c r="O1086" s="110"/>
      <c r="P1086" s="110">
        <v>16.095400000000001</v>
      </c>
      <c r="Q1086" s="110"/>
      <c r="R1086" s="110"/>
      <c r="S1086" s="110"/>
      <c r="T1086" s="110"/>
    </row>
    <row r="1087" spans="1:20">
      <c r="A1087" s="110" t="s">
        <v>44</v>
      </c>
      <c r="B1087" s="110" t="s">
        <v>106</v>
      </c>
      <c r="C1087" s="110">
        <v>8890</v>
      </c>
      <c r="D1087" s="110">
        <v>20.160979999999999</v>
      </c>
      <c r="E1087" s="110">
        <v>5200</v>
      </c>
      <c r="F1087" s="110">
        <v>323.14999999999998</v>
      </c>
      <c r="G1087" s="110">
        <v>0.90600893860030307</v>
      </c>
      <c r="H1087" s="110">
        <v>1.4089321062599003</v>
      </c>
      <c r="I1087" s="110">
        <v>7864.561999999999</v>
      </c>
      <c r="J1087" s="110">
        <v>361.55099999999999</v>
      </c>
      <c r="K1087" s="110">
        <v>0.917737951213351</v>
      </c>
      <c r="L1087" s="110">
        <v>1.3931664238352093</v>
      </c>
      <c r="M1087" s="110"/>
      <c r="N1087" s="110"/>
      <c r="O1087" s="110"/>
      <c r="P1087" s="110">
        <v>17.491499999999998</v>
      </c>
      <c r="Q1087" s="110"/>
      <c r="R1087" s="110"/>
      <c r="S1087" s="110"/>
      <c r="T1087" s="110"/>
    </row>
    <row r="1088" spans="1:20">
      <c r="A1088" s="110" t="s">
        <v>44</v>
      </c>
      <c r="B1088" s="110" t="s">
        <v>106</v>
      </c>
      <c r="C1088" s="110">
        <v>8890</v>
      </c>
      <c r="D1088" s="110">
        <v>20.160979999999999</v>
      </c>
      <c r="E1088" s="110">
        <v>5200</v>
      </c>
      <c r="F1088" s="110">
        <v>323.14999999999998</v>
      </c>
      <c r="G1088" s="110">
        <v>0.90600893860030307</v>
      </c>
      <c r="H1088" s="110">
        <v>1.4089321062599003</v>
      </c>
      <c r="I1088" s="110">
        <v>7750.0240000000003</v>
      </c>
      <c r="J1088" s="110">
        <v>360.23419999999999</v>
      </c>
      <c r="K1088" s="110">
        <v>0.91681459134212617</v>
      </c>
      <c r="L1088" s="110">
        <v>1.3955205744806478</v>
      </c>
      <c r="M1088" s="110"/>
      <c r="N1088" s="110"/>
      <c r="O1088" s="110"/>
      <c r="P1088" s="110">
        <v>18.629719999999999</v>
      </c>
      <c r="Q1088" s="110"/>
      <c r="R1088" s="110"/>
      <c r="S1088" s="110"/>
      <c r="T1088" s="110"/>
    </row>
    <row r="1089" spans="1:20">
      <c r="A1089" s="110" t="s">
        <v>44</v>
      </c>
      <c r="B1089" s="110" t="s">
        <v>106</v>
      </c>
      <c r="C1089" s="110">
        <v>8890</v>
      </c>
      <c r="D1089" s="110">
        <v>20.160979999999999</v>
      </c>
      <c r="E1089" s="110">
        <v>5200</v>
      </c>
      <c r="F1089" s="110">
        <v>323.14999999999998</v>
      </c>
      <c r="G1089" s="110">
        <v>0.90600893860030307</v>
      </c>
      <c r="H1089" s="110">
        <v>1.4089321062599003</v>
      </c>
      <c r="I1089" s="110">
        <v>7637.1080000000002</v>
      </c>
      <c r="J1089" s="110">
        <v>359.06020000000001</v>
      </c>
      <c r="K1089" s="110">
        <v>0.91566465137896547</v>
      </c>
      <c r="L1089" s="110">
        <v>1.3974779306623806</v>
      </c>
      <c r="M1089" s="110"/>
      <c r="N1089" s="110"/>
      <c r="O1089" s="110"/>
      <c r="P1089" s="110">
        <v>19.615369999999999</v>
      </c>
      <c r="Q1089" s="110"/>
      <c r="R1089" s="110"/>
      <c r="S1089" s="110"/>
      <c r="T1089" s="110"/>
    </row>
    <row r="1090" spans="1:20">
      <c r="A1090" s="110" t="s">
        <v>44</v>
      </c>
      <c r="B1090" s="110" t="s">
        <v>106</v>
      </c>
      <c r="C1090" s="110">
        <v>8890</v>
      </c>
      <c r="D1090" s="110">
        <v>20.160979999999999</v>
      </c>
      <c r="E1090" s="110">
        <v>5200</v>
      </c>
      <c r="F1090" s="110">
        <v>323.14999999999998</v>
      </c>
      <c r="G1090" s="110">
        <v>0.90600893860030307</v>
      </c>
      <c r="H1090" s="110">
        <v>1.4089321062599003</v>
      </c>
      <c r="I1090" s="110">
        <v>7391.8850000000002</v>
      </c>
      <c r="J1090" s="110">
        <v>356.8621</v>
      </c>
      <c r="K1090" s="110">
        <v>0.91588522134391648</v>
      </c>
      <c r="L1090" s="110">
        <v>1.3901814338284866</v>
      </c>
      <c r="M1090" s="110"/>
      <c r="N1090" s="110"/>
      <c r="O1090" s="110"/>
      <c r="P1090" s="110">
        <v>21.302150000000001</v>
      </c>
      <c r="Q1090" s="110"/>
      <c r="R1090" s="110"/>
      <c r="S1090" s="110"/>
      <c r="T1090" s="110"/>
    </row>
    <row r="1091" spans="1:20">
      <c r="A1091" s="110" t="s">
        <v>44</v>
      </c>
      <c r="B1091" s="110" t="s">
        <v>106</v>
      </c>
      <c r="C1091" s="110">
        <v>8890</v>
      </c>
      <c r="D1091" s="110">
        <v>20.160979999999999</v>
      </c>
      <c r="E1091" s="110">
        <v>5200</v>
      </c>
      <c r="F1091" s="110">
        <v>323.14999999999998</v>
      </c>
      <c r="G1091" s="110">
        <v>0.90600893860030307</v>
      </c>
      <c r="H1091" s="110">
        <v>1.4089321062599003</v>
      </c>
      <c r="I1091" s="110">
        <v>7114.21</v>
      </c>
      <c r="J1091" s="110">
        <v>354.71499999999997</v>
      </c>
      <c r="K1091" s="110">
        <v>0.91712814518752417</v>
      </c>
      <c r="L1091" s="110">
        <v>1.3929551998967229</v>
      </c>
      <c r="M1091" s="110"/>
      <c r="N1091" s="110"/>
      <c r="O1091" s="110"/>
      <c r="P1091" s="110">
        <v>22.745049999999999</v>
      </c>
      <c r="Q1091" s="110"/>
      <c r="R1091" s="110"/>
      <c r="S1091" s="110"/>
      <c r="T1091" s="110"/>
    </row>
    <row r="1092" spans="1:20">
      <c r="A1092" s="110" t="s">
        <v>44</v>
      </c>
      <c r="B1092" s="110" t="s">
        <v>106</v>
      </c>
      <c r="C1092" s="110">
        <v>8890</v>
      </c>
      <c r="D1092" s="110">
        <v>20.160979999999999</v>
      </c>
      <c r="E1092" s="110">
        <v>5200</v>
      </c>
      <c r="F1092" s="110">
        <v>323.14999999999998</v>
      </c>
      <c r="G1092" s="110">
        <v>0.90600893860030307</v>
      </c>
      <c r="H1092" s="110">
        <v>1.4089321062599003</v>
      </c>
      <c r="I1092" s="110">
        <v>6796.8770000000004</v>
      </c>
      <c r="J1092" s="110">
        <v>352.49029999999999</v>
      </c>
      <c r="K1092" s="110">
        <v>0.91539366095513064</v>
      </c>
      <c r="L1092" s="110">
        <v>1.3802901701637476</v>
      </c>
      <c r="M1092" s="110"/>
      <c r="N1092" s="110"/>
      <c r="O1092" s="110"/>
      <c r="P1092" s="110">
        <v>24.02665</v>
      </c>
      <c r="Q1092" s="110"/>
      <c r="R1092" s="110"/>
      <c r="S1092" s="110"/>
      <c r="T1092" s="110"/>
    </row>
    <row r="1093" spans="1:20">
      <c r="A1093" s="110" t="s">
        <v>44</v>
      </c>
      <c r="B1093" s="110" t="s">
        <v>106</v>
      </c>
      <c r="C1093" s="110">
        <v>8890</v>
      </c>
      <c r="D1093" s="110">
        <v>20.160979999999999</v>
      </c>
      <c r="E1093" s="110">
        <v>5200</v>
      </c>
      <c r="F1093" s="110">
        <v>323.14999999999998</v>
      </c>
      <c r="G1093" s="110">
        <v>0.90600893860030307</v>
      </c>
      <c r="H1093" s="110">
        <v>1.4089321062599003</v>
      </c>
      <c r="I1093" s="110">
        <v>6431.8079999999991</v>
      </c>
      <c r="J1093" s="110">
        <v>350.1046</v>
      </c>
      <c r="K1093" s="110">
        <v>0.91943436497133801</v>
      </c>
      <c r="L1093" s="110">
        <v>1.3819340080763569</v>
      </c>
      <c r="M1093" s="110"/>
      <c r="N1093" s="110"/>
      <c r="O1093" s="110"/>
      <c r="P1093" s="110">
        <v>25.191330000000001</v>
      </c>
      <c r="Q1093" s="110"/>
      <c r="R1093" s="110"/>
      <c r="S1093" s="110"/>
      <c r="T1093" s="110"/>
    </row>
    <row r="1094" spans="1:20">
      <c r="A1094" s="110" t="s">
        <v>44</v>
      </c>
      <c r="B1094" s="110" t="s">
        <v>106</v>
      </c>
      <c r="C1094" s="110">
        <v>8890</v>
      </c>
      <c r="D1094" s="110">
        <v>20.160979999999999</v>
      </c>
      <c r="E1094" s="110">
        <v>5200</v>
      </c>
      <c r="F1094" s="110">
        <v>323.14999999999998</v>
      </c>
      <c r="G1094" s="110">
        <v>0.90600893860030307</v>
      </c>
      <c r="H1094" s="110">
        <v>1.4089321062599003</v>
      </c>
      <c r="I1094" s="110">
        <v>6431.4760000000006</v>
      </c>
      <c r="J1094" s="110">
        <v>350.1026</v>
      </c>
      <c r="K1094" s="110">
        <v>0.91943544964089163</v>
      </c>
      <c r="L1094" s="110">
        <v>1.3819349856954777</v>
      </c>
      <c r="M1094" s="110"/>
      <c r="N1094" s="110"/>
      <c r="O1094" s="110"/>
      <c r="P1094" s="110">
        <v>25.192270000000001</v>
      </c>
      <c r="Q1094" s="110"/>
      <c r="R1094" s="110"/>
      <c r="S1094" s="110"/>
      <c r="T1094" s="110"/>
    </row>
    <row r="1095" spans="1:20">
      <c r="A1095" s="110" t="s">
        <v>44</v>
      </c>
      <c r="B1095" s="110" t="s">
        <v>106</v>
      </c>
      <c r="C1095" s="110">
        <v>8890</v>
      </c>
      <c r="D1095" s="110">
        <v>20.160979999999999</v>
      </c>
      <c r="E1095" s="110">
        <v>5200</v>
      </c>
      <c r="F1095" s="110">
        <v>323.14999999999998</v>
      </c>
      <c r="G1095" s="110">
        <v>0.90600893860030307</v>
      </c>
      <c r="H1095" s="110">
        <v>1.4089321062599003</v>
      </c>
      <c r="I1095" s="110">
        <v>6193.3059999999996</v>
      </c>
      <c r="J1095" s="110">
        <v>348.80489999999998</v>
      </c>
      <c r="K1095" s="110">
        <v>0.91905339527976249</v>
      </c>
      <c r="L1095" s="110">
        <v>1.3833131307089266</v>
      </c>
      <c r="M1095" s="110"/>
      <c r="N1095" s="110"/>
      <c r="O1095" s="110"/>
      <c r="P1095" s="110">
        <v>25.834610000000001</v>
      </c>
      <c r="Q1095" s="110"/>
      <c r="R1095" s="110"/>
      <c r="S1095" s="110"/>
      <c r="T1095" s="110"/>
    </row>
    <row r="1096" spans="1:20">
      <c r="A1096" s="110" t="s">
        <v>44</v>
      </c>
      <c r="B1096" s="110" t="s">
        <v>68</v>
      </c>
      <c r="C1096" s="110">
        <v>13335</v>
      </c>
      <c r="D1096" s="110">
        <v>28.013000000000002</v>
      </c>
      <c r="E1096" s="110">
        <v>400</v>
      </c>
      <c r="F1096" s="110">
        <v>323.14999999999998</v>
      </c>
      <c r="G1096" s="110">
        <v>0.99990188264224211</v>
      </c>
      <c r="H1096" s="110">
        <v>1.4056091164505502</v>
      </c>
      <c r="I1096" s="110">
        <v>1220.087</v>
      </c>
      <c r="J1096" s="110">
        <v>490.10829999999999</v>
      </c>
      <c r="K1096" s="110">
        <v>1.0057016285836391</v>
      </c>
      <c r="L1096" s="110">
        <v>1.3977845299164811</v>
      </c>
      <c r="M1096" s="110"/>
      <c r="N1096" s="110"/>
      <c r="O1096" s="110"/>
      <c r="P1096" s="110">
        <v>2.256186</v>
      </c>
      <c r="Q1096" s="110"/>
      <c r="R1096" s="110"/>
      <c r="S1096" s="110"/>
      <c r="T1096" s="110"/>
    </row>
    <row r="1097" spans="1:20">
      <c r="A1097" s="110" t="s">
        <v>44</v>
      </c>
      <c r="B1097" s="110" t="s">
        <v>68</v>
      </c>
      <c r="C1097" s="110">
        <v>13335</v>
      </c>
      <c r="D1097" s="110">
        <v>28.013000000000002</v>
      </c>
      <c r="E1097" s="110">
        <v>400</v>
      </c>
      <c r="F1097" s="110">
        <v>323.14999999999998</v>
      </c>
      <c r="G1097" s="110">
        <v>0.99990188264224211</v>
      </c>
      <c r="H1097" s="110">
        <v>1.4056091164505502</v>
      </c>
      <c r="I1097" s="110">
        <v>1219.1290000000001</v>
      </c>
      <c r="J1097" s="110">
        <v>489.78059999999999</v>
      </c>
      <c r="K1097" s="110">
        <v>1.0057180520352564</v>
      </c>
      <c r="L1097" s="110">
        <v>1.397817950631485</v>
      </c>
      <c r="M1097" s="110"/>
      <c r="N1097" s="110"/>
      <c r="O1097" s="110"/>
      <c r="P1097" s="110">
        <v>2.2704360000000001</v>
      </c>
      <c r="Q1097" s="110"/>
      <c r="R1097" s="110"/>
      <c r="S1097" s="110"/>
      <c r="T1097" s="110"/>
    </row>
    <row r="1098" spans="1:20">
      <c r="A1098" s="110" t="s">
        <v>44</v>
      </c>
      <c r="B1098" s="110" t="s">
        <v>68</v>
      </c>
      <c r="C1098" s="110">
        <v>13335</v>
      </c>
      <c r="D1098" s="110">
        <v>28.013000000000002</v>
      </c>
      <c r="E1098" s="110">
        <v>400</v>
      </c>
      <c r="F1098" s="110">
        <v>323.14999999999998</v>
      </c>
      <c r="G1098" s="110">
        <v>0.99990188264224211</v>
      </c>
      <c r="H1098" s="110">
        <v>1.4056091164505502</v>
      </c>
      <c r="I1098" s="110">
        <v>1209.615</v>
      </c>
      <c r="J1098" s="110">
        <v>486.86840000000001</v>
      </c>
      <c r="K1098" s="110">
        <v>1.0058691562357696</v>
      </c>
      <c r="L1098" s="110">
        <v>1.3980741880610807</v>
      </c>
      <c r="M1098" s="110"/>
      <c r="N1098" s="110"/>
      <c r="O1098" s="110"/>
      <c r="P1098" s="110">
        <v>2.3959269999999999</v>
      </c>
      <c r="Q1098" s="110"/>
      <c r="R1098" s="110"/>
      <c r="S1098" s="110"/>
      <c r="T1098" s="110"/>
    </row>
    <row r="1099" spans="1:20">
      <c r="A1099" s="110" t="s">
        <v>44</v>
      </c>
      <c r="B1099" s="110" t="s">
        <v>68</v>
      </c>
      <c r="C1099" s="110">
        <v>13335</v>
      </c>
      <c r="D1099" s="110">
        <v>28.013000000000002</v>
      </c>
      <c r="E1099" s="110">
        <v>400</v>
      </c>
      <c r="F1099" s="110">
        <v>323.14999999999998</v>
      </c>
      <c r="G1099" s="110">
        <v>0.99990188264224211</v>
      </c>
      <c r="H1099" s="110">
        <v>1.4056091164505502</v>
      </c>
      <c r="I1099" s="110">
        <v>1203.8029999999999</v>
      </c>
      <c r="J1099" s="110">
        <v>485.2869</v>
      </c>
      <c r="K1099" s="110">
        <v>1.0059480338615094</v>
      </c>
      <c r="L1099" s="110">
        <v>1.3981844835806201</v>
      </c>
      <c r="M1099" s="110"/>
      <c r="N1099" s="110"/>
      <c r="O1099" s="110"/>
      <c r="P1099" s="110">
        <v>2.4633720000000001</v>
      </c>
      <c r="Q1099" s="110"/>
      <c r="R1099" s="110"/>
      <c r="S1099" s="110"/>
      <c r="T1099" s="110"/>
    </row>
    <row r="1100" spans="1:20">
      <c r="A1100" s="110" t="s">
        <v>44</v>
      </c>
      <c r="B1100" s="110" t="s">
        <v>68</v>
      </c>
      <c r="C1100" s="110">
        <v>13335</v>
      </c>
      <c r="D1100" s="110">
        <v>28.013000000000002</v>
      </c>
      <c r="E1100" s="110">
        <v>400</v>
      </c>
      <c r="F1100" s="110">
        <v>323.14999999999998</v>
      </c>
      <c r="G1100" s="110">
        <v>0.99990188264224211</v>
      </c>
      <c r="H1100" s="110">
        <v>1.4056091164505502</v>
      </c>
      <c r="I1100" s="110">
        <v>1178.6659999999999</v>
      </c>
      <c r="J1100" s="110">
        <v>479.59379999999999</v>
      </c>
      <c r="K1100" s="110">
        <v>1.0061306100274883</v>
      </c>
      <c r="L1100" s="110">
        <v>1.3984132258926605</v>
      </c>
      <c r="M1100" s="110"/>
      <c r="N1100" s="110"/>
      <c r="O1100" s="110"/>
      <c r="P1100" s="110">
        <v>2.6940629999999999</v>
      </c>
      <c r="Q1100" s="110"/>
      <c r="R1100" s="110"/>
      <c r="S1100" s="110"/>
      <c r="T1100" s="110"/>
    </row>
    <row r="1101" spans="1:20">
      <c r="A1101" s="110" t="s">
        <v>44</v>
      </c>
      <c r="B1101" s="110" t="s">
        <v>68</v>
      </c>
      <c r="C1101" s="110">
        <v>13335</v>
      </c>
      <c r="D1101" s="110">
        <v>28.013000000000002</v>
      </c>
      <c r="E1101" s="110">
        <v>400</v>
      </c>
      <c r="F1101" s="110">
        <v>323.14999999999998</v>
      </c>
      <c r="G1101" s="110">
        <v>0.99990188264224211</v>
      </c>
      <c r="H1101" s="110">
        <v>1.4056091164505502</v>
      </c>
      <c r="I1101" s="110">
        <v>1140.2260000000001</v>
      </c>
      <c r="J1101" s="110">
        <v>472.80200000000002</v>
      </c>
      <c r="K1101" s="110">
        <v>1.0057187796253106</v>
      </c>
      <c r="L1101" s="110">
        <v>1.3987626800812896</v>
      </c>
      <c r="M1101" s="110"/>
      <c r="N1101" s="110"/>
      <c r="O1101" s="110"/>
      <c r="P1101" s="110">
        <v>2.9878279999999999</v>
      </c>
      <c r="Q1101" s="110"/>
      <c r="R1101" s="110"/>
      <c r="S1101" s="110"/>
      <c r="T1101" s="110"/>
    </row>
    <row r="1102" spans="1:20">
      <c r="A1102" s="110" t="s">
        <v>44</v>
      </c>
      <c r="B1102" s="110" t="s">
        <v>68</v>
      </c>
      <c r="C1102" s="110">
        <v>13335</v>
      </c>
      <c r="D1102" s="110">
        <v>28.013000000000002</v>
      </c>
      <c r="E1102" s="110">
        <v>400</v>
      </c>
      <c r="F1102" s="110">
        <v>323.14999999999998</v>
      </c>
      <c r="G1102" s="110">
        <v>0.99990188264224211</v>
      </c>
      <c r="H1102" s="110">
        <v>1.4056091164505502</v>
      </c>
      <c r="I1102" s="110">
        <v>1098.2860000000001</v>
      </c>
      <c r="J1102" s="110">
        <v>467.04020000000003</v>
      </c>
      <c r="K1102" s="110">
        <v>1.0040054368296116</v>
      </c>
      <c r="L1102" s="110">
        <v>1.3990595683983578</v>
      </c>
      <c r="M1102" s="110"/>
      <c r="N1102" s="110"/>
      <c r="O1102" s="110"/>
      <c r="P1102" s="110">
        <v>3.2249539999999999</v>
      </c>
      <c r="Q1102" s="110"/>
      <c r="R1102" s="110"/>
      <c r="S1102" s="110"/>
      <c r="T1102" s="110"/>
    </row>
    <row r="1103" spans="1:20">
      <c r="A1103" s="110" t="s">
        <v>44</v>
      </c>
      <c r="B1103" s="110" t="s">
        <v>68</v>
      </c>
      <c r="C1103" s="110">
        <v>13335</v>
      </c>
      <c r="D1103" s="110">
        <v>28.013000000000002</v>
      </c>
      <c r="E1103" s="110">
        <v>400</v>
      </c>
      <c r="F1103" s="110">
        <v>323.14999999999998</v>
      </c>
      <c r="G1103" s="110">
        <v>0.99990188264224211</v>
      </c>
      <c r="H1103" s="110">
        <v>1.4056091164505502</v>
      </c>
      <c r="I1103" s="110">
        <v>1086.2930000000001</v>
      </c>
      <c r="J1103" s="110">
        <v>465.5813</v>
      </c>
      <c r="K1103" s="110">
        <v>1.0033092523792713</v>
      </c>
      <c r="L1103" s="110">
        <v>1.400482076421065</v>
      </c>
      <c r="M1103" s="110"/>
      <c r="N1103" s="110"/>
      <c r="O1103" s="110"/>
      <c r="P1103" s="110">
        <v>3.2812990000000002</v>
      </c>
      <c r="Q1103" s="110"/>
      <c r="R1103" s="110"/>
      <c r="S1103" s="110"/>
      <c r="T1103" s="110"/>
    </row>
    <row r="1104" spans="1:20">
      <c r="A1104" s="110" t="s">
        <v>44</v>
      </c>
      <c r="B1104" s="110" t="s">
        <v>68</v>
      </c>
      <c r="C1104" s="110">
        <v>13335</v>
      </c>
      <c r="D1104" s="110">
        <v>28.013000000000002</v>
      </c>
      <c r="E1104" s="110">
        <v>400</v>
      </c>
      <c r="F1104" s="110">
        <v>323.14999999999998</v>
      </c>
      <c r="G1104" s="110">
        <v>0.99990188264224211</v>
      </c>
      <c r="H1104" s="110">
        <v>1.4056091164505502</v>
      </c>
      <c r="I1104" s="110">
        <v>1077.1399999999999</v>
      </c>
      <c r="J1104" s="110">
        <v>464.49099999999999</v>
      </c>
      <c r="K1104" s="110">
        <v>1.0029713322611038</v>
      </c>
      <c r="L1104" s="110">
        <v>1.4005072319626417</v>
      </c>
      <c r="M1104" s="110"/>
      <c r="N1104" s="110"/>
      <c r="O1104" s="110"/>
      <c r="P1104" s="110">
        <v>3.3233679999999999</v>
      </c>
      <c r="Q1104" s="110"/>
      <c r="R1104" s="110"/>
      <c r="S1104" s="110"/>
      <c r="T1104" s="110"/>
    </row>
    <row r="1105" spans="1:20">
      <c r="A1105" s="110" t="s">
        <v>44</v>
      </c>
      <c r="B1105" s="110" t="s">
        <v>68</v>
      </c>
      <c r="C1105" s="110">
        <v>13335</v>
      </c>
      <c r="D1105" s="110">
        <v>28.013000000000002</v>
      </c>
      <c r="E1105" s="110">
        <v>400</v>
      </c>
      <c r="F1105" s="110">
        <v>323.14999999999998</v>
      </c>
      <c r="G1105" s="110">
        <v>0.99990188264224211</v>
      </c>
      <c r="H1105" s="110">
        <v>1.4056091164505502</v>
      </c>
      <c r="I1105" s="110">
        <v>1031.9470000000001</v>
      </c>
      <c r="J1105" s="110">
        <v>459.38589999999999</v>
      </c>
      <c r="K1105" s="110">
        <v>1.0031500135790734</v>
      </c>
      <c r="L1105" s="110">
        <v>1.400593919966084</v>
      </c>
      <c r="M1105" s="110"/>
      <c r="N1105" s="110"/>
      <c r="O1105" s="110"/>
      <c r="P1105" s="110">
        <v>3.514713</v>
      </c>
      <c r="Q1105" s="110"/>
      <c r="R1105" s="110"/>
      <c r="S1105" s="110"/>
      <c r="T1105" s="110"/>
    </row>
    <row r="1106" spans="1:20">
      <c r="A1106" s="110" t="s">
        <v>44</v>
      </c>
      <c r="B1106" s="110" t="s">
        <v>68</v>
      </c>
      <c r="C1106" s="110">
        <v>13335</v>
      </c>
      <c r="D1106" s="110">
        <v>28.013000000000002</v>
      </c>
      <c r="E1106" s="110">
        <v>400</v>
      </c>
      <c r="F1106" s="110">
        <v>323.14999999999998</v>
      </c>
      <c r="G1106" s="110">
        <v>0.99990188264224211</v>
      </c>
      <c r="H1106" s="110">
        <v>1.4056091164505502</v>
      </c>
      <c r="I1106" s="110">
        <v>998.79349999999999</v>
      </c>
      <c r="J1106" s="110">
        <v>456.20600000000002</v>
      </c>
      <c r="K1106" s="110">
        <v>1.0041149696608775</v>
      </c>
      <c r="L1106" s="110">
        <v>1.4004906054369162</v>
      </c>
      <c r="M1106" s="110"/>
      <c r="N1106" s="110"/>
      <c r="O1106" s="110"/>
      <c r="P1106" s="110">
        <v>3.6234150000000001</v>
      </c>
      <c r="Q1106" s="110"/>
      <c r="R1106" s="110"/>
      <c r="S1106" s="110"/>
      <c r="T1106" s="110"/>
    </row>
    <row r="1107" spans="1:20">
      <c r="A1107" s="110" t="s">
        <v>44</v>
      </c>
      <c r="B1107" s="110" t="s">
        <v>68</v>
      </c>
      <c r="C1107" s="110">
        <v>13335</v>
      </c>
      <c r="D1107" s="110">
        <v>28.013000000000002</v>
      </c>
      <c r="E1107" s="110">
        <v>400</v>
      </c>
      <c r="F1107" s="110">
        <v>323.14999999999998</v>
      </c>
      <c r="G1107" s="110">
        <v>0.99990188264224211</v>
      </c>
      <c r="H1107" s="110">
        <v>1.4056091164505502</v>
      </c>
      <c r="I1107" s="110">
        <v>946.92819999999995</v>
      </c>
      <c r="J1107" s="110">
        <v>451.85059999999999</v>
      </c>
      <c r="K1107" s="110">
        <v>1.0050764794439002</v>
      </c>
      <c r="L1107" s="110">
        <v>1.400118872243753</v>
      </c>
      <c r="M1107" s="110"/>
      <c r="N1107" s="110"/>
      <c r="O1107" s="110"/>
      <c r="P1107" s="110">
        <v>3.7594560000000001</v>
      </c>
      <c r="Q1107" s="110"/>
      <c r="R1107" s="110"/>
      <c r="S1107" s="110"/>
      <c r="T1107" s="110"/>
    </row>
    <row r="1108" spans="1:20">
      <c r="A1108" s="110" t="s">
        <v>44</v>
      </c>
      <c r="B1108" s="110" t="s">
        <v>68</v>
      </c>
      <c r="C1108" s="110">
        <v>13335</v>
      </c>
      <c r="D1108" s="110">
        <v>28.013000000000002</v>
      </c>
      <c r="E1108" s="110">
        <v>400</v>
      </c>
      <c r="F1108" s="110">
        <v>323.14999999999998</v>
      </c>
      <c r="G1108" s="110">
        <v>0.99990188264224211</v>
      </c>
      <c r="H1108" s="110">
        <v>1.4056091164505502</v>
      </c>
      <c r="I1108" s="110">
        <v>919.49679999999989</v>
      </c>
      <c r="J1108" s="110">
        <v>449.79360000000003</v>
      </c>
      <c r="K1108" s="110">
        <v>1.0047394071756328</v>
      </c>
      <c r="L1108" s="110">
        <v>1.3999198302677816</v>
      </c>
      <c r="M1108" s="110"/>
      <c r="N1108" s="110"/>
      <c r="O1108" s="110"/>
      <c r="P1108" s="110">
        <v>3.819007</v>
      </c>
      <c r="Q1108" s="110"/>
      <c r="R1108" s="110"/>
      <c r="S1108" s="110"/>
      <c r="T1108" s="110"/>
    </row>
    <row r="1109" spans="1:20">
      <c r="A1109" s="110" t="s">
        <v>44</v>
      </c>
      <c r="B1109" s="110" t="s">
        <v>68</v>
      </c>
      <c r="C1109" s="110">
        <v>13335</v>
      </c>
      <c r="D1109" s="110">
        <v>28.013000000000002</v>
      </c>
      <c r="E1109" s="110">
        <v>400</v>
      </c>
      <c r="F1109" s="110">
        <v>323.14999999999998</v>
      </c>
      <c r="G1109" s="110">
        <v>0.99990188264224211</v>
      </c>
      <c r="H1109" s="110">
        <v>1.4056091164505502</v>
      </c>
      <c r="I1109" s="110">
        <v>865.13559999999995</v>
      </c>
      <c r="J1109" s="110">
        <v>446.09449999999998</v>
      </c>
      <c r="K1109" s="110">
        <v>1.0019946543031286</v>
      </c>
      <c r="L1109" s="110">
        <v>1.4010218653462692</v>
      </c>
      <c r="M1109" s="110"/>
      <c r="N1109" s="110"/>
      <c r="O1109" s="110"/>
      <c r="P1109" s="110">
        <v>3.9161049999999999</v>
      </c>
      <c r="Q1109" s="110"/>
      <c r="R1109" s="110"/>
      <c r="S1109" s="110"/>
      <c r="T1109" s="110"/>
    </row>
    <row r="1110" spans="1:20">
      <c r="A1110" s="110" t="s">
        <v>44</v>
      </c>
      <c r="B1110" s="110" t="s">
        <v>68</v>
      </c>
      <c r="C1110" s="110">
        <v>13335</v>
      </c>
      <c r="D1110" s="110">
        <v>28.013000000000002</v>
      </c>
      <c r="E1110" s="110">
        <v>400</v>
      </c>
      <c r="F1110" s="110">
        <v>323.14999999999998</v>
      </c>
      <c r="G1110" s="110">
        <v>0.99990188264224211</v>
      </c>
      <c r="H1110" s="110">
        <v>1.4056091164505502</v>
      </c>
      <c r="I1110" s="110">
        <v>835.78650000000005</v>
      </c>
      <c r="J1110" s="110">
        <v>444.28559999999999</v>
      </c>
      <c r="K1110" s="110">
        <v>1.0022084366414858</v>
      </c>
      <c r="L1110" s="110">
        <v>1.4009228332877157</v>
      </c>
      <c r="M1110" s="110"/>
      <c r="N1110" s="110"/>
      <c r="O1110" s="110"/>
      <c r="P1110" s="110">
        <v>3.957023</v>
      </c>
      <c r="Q1110" s="110"/>
      <c r="R1110" s="110"/>
      <c r="S1110" s="110"/>
      <c r="T1110" s="110"/>
    </row>
    <row r="1111" spans="1:20">
      <c r="A1111" s="110" t="s">
        <v>44</v>
      </c>
      <c r="B1111" s="110" t="s">
        <v>68</v>
      </c>
      <c r="C1111" s="110">
        <v>13335</v>
      </c>
      <c r="D1111" s="110">
        <v>28.013000000000002</v>
      </c>
      <c r="E1111" s="110">
        <v>400</v>
      </c>
      <c r="F1111" s="110">
        <v>323.14999999999998</v>
      </c>
      <c r="G1111" s="110">
        <v>0.99990188264224211</v>
      </c>
      <c r="H1111" s="110">
        <v>1.4056091164505502</v>
      </c>
      <c r="I1111" s="110">
        <v>787.32590000000005</v>
      </c>
      <c r="J1111" s="110">
        <v>441.35770000000002</v>
      </c>
      <c r="K1111" s="110">
        <v>1.0039525693616183</v>
      </c>
      <c r="L1111" s="110">
        <v>1.4004361762880178</v>
      </c>
      <c r="M1111" s="110"/>
      <c r="N1111" s="110"/>
      <c r="O1111" s="110"/>
      <c r="P1111" s="110">
        <v>4.0168569999999999</v>
      </c>
      <c r="Q1111" s="110"/>
      <c r="R1111" s="110"/>
      <c r="S1111" s="110"/>
      <c r="T1111" s="110"/>
    </row>
    <row r="1112" spans="1:20">
      <c r="A1112" s="110" t="s">
        <v>44</v>
      </c>
      <c r="B1112" s="110" t="s">
        <v>68</v>
      </c>
      <c r="C1112" s="110">
        <v>13335</v>
      </c>
      <c r="D1112" s="110">
        <v>28.013000000000002</v>
      </c>
      <c r="E1112" s="110">
        <v>400</v>
      </c>
      <c r="F1112" s="110">
        <v>323.14999999999998</v>
      </c>
      <c r="G1112" s="110">
        <v>0.99990188264224211</v>
      </c>
      <c r="H1112" s="110">
        <v>1.4056091164505502</v>
      </c>
      <c r="I1112" s="110">
        <v>758.14030000000002</v>
      </c>
      <c r="J1112" s="110">
        <v>439.6431</v>
      </c>
      <c r="K1112" s="110">
        <v>1.004355780090108</v>
      </c>
      <c r="L1112" s="110">
        <v>1.400110348732571</v>
      </c>
      <c r="M1112" s="110"/>
      <c r="N1112" s="110"/>
      <c r="O1112" s="110"/>
      <c r="P1112" s="110">
        <v>4.0489430000000004</v>
      </c>
      <c r="Q1112" s="110"/>
      <c r="R1112" s="110"/>
      <c r="S1112" s="110"/>
      <c r="T1112" s="110"/>
    </row>
    <row r="1113" spans="1:20">
      <c r="A1113" s="110" t="s">
        <v>44</v>
      </c>
      <c r="B1113" s="110" t="s">
        <v>68</v>
      </c>
      <c r="C1113" s="110">
        <v>13335</v>
      </c>
      <c r="D1113" s="110">
        <v>28.013000000000002</v>
      </c>
      <c r="E1113" s="110">
        <v>400</v>
      </c>
      <c r="F1113" s="110">
        <v>323.14999999999998</v>
      </c>
      <c r="G1113" s="110">
        <v>0.99990188264224211</v>
      </c>
      <c r="H1113" s="110">
        <v>1.4056091164505502</v>
      </c>
      <c r="I1113" s="110">
        <v>704.39779999999996</v>
      </c>
      <c r="J1113" s="110">
        <v>436.56079999999997</v>
      </c>
      <c r="K1113" s="110">
        <v>1.0016667844449618</v>
      </c>
      <c r="L1113" s="110">
        <v>1.4008853514174269</v>
      </c>
      <c r="M1113" s="110"/>
      <c r="N1113" s="110"/>
      <c r="O1113" s="110"/>
      <c r="P1113" s="110">
        <v>4.1018660000000002</v>
      </c>
      <c r="Q1113" s="110"/>
      <c r="R1113" s="110"/>
      <c r="S1113" s="110"/>
      <c r="T1113" s="110"/>
    </row>
    <row r="1114" spans="1:20">
      <c r="A1114" s="110" t="s">
        <v>44</v>
      </c>
      <c r="B1114" s="110" t="s">
        <v>68</v>
      </c>
      <c r="C1114" s="110">
        <v>13335</v>
      </c>
      <c r="D1114" s="110">
        <v>28.013000000000002</v>
      </c>
      <c r="E1114" s="110">
        <v>400</v>
      </c>
      <c r="F1114" s="110">
        <v>323.14999999999998</v>
      </c>
      <c r="G1114" s="110">
        <v>0.99990188264224211</v>
      </c>
      <c r="H1114" s="110">
        <v>1.4056091164505502</v>
      </c>
      <c r="I1114" s="110">
        <v>675.53030000000001</v>
      </c>
      <c r="J1114" s="110">
        <v>434.95909999999998</v>
      </c>
      <c r="K1114" s="110">
        <v>1.0015447705334186</v>
      </c>
      <c r="L1114" s="110">
        <v>1.4006587269459922</v>
      </c>
      <c r="M1114" s="110"/>
      <c r="N1114" s="110"/>
      <c r="O1114" s="110"/>
      <c r="P1114" s="110">
        <v>4.1273580000000001</v>
      </c>
      <c r="Q1114" s="110"/>
      <c r="R1114" s="110"/>
      <c r="S1114" s="110"/>
      <c r="T1114" s="110"/>
    </row>
    <row r="1115" spans="1:20">
      <c r="A1115" s="110" t="s">
        <v>44</v>
      </c>
      <c r="B1115" s="110" t="s">
        <v>68</v>
      </c>
      <c r="C1115" s="110">
        <v>12700</v>
      </c>
      <c r="D1115" s="110">
        <v>28.013000000000002</v>
      </c>
      <c r="E1115" s="110">
        <v>400</v>
      </c>
      <c r="F1115" s="110">
        <v>323.14999999999998</v>
      </c>
      <c r="G1115" s="110">
        <v>0.99990188264224211</v>
      </c>
      <c r="H1115" s="110">
        <v>1.4056091164505502</v>
      </c>
      <c r="I1115" s="110">
        <v>1114.8120000000001</v>
      </c>
      <c r="J1115" s="110">
        <v>477.15969999999999</v>
      </c>
      <c r="K1115" s="110">
        <v>1.0049344061345613</v>
      </c>
      <c r="L1115" s="110">
        <v>1.3978632740177395</v>
      </c>
      <c r="M1115" s="110"/>
      <c r="N1115" s="110"/>
      <c r="O1115" s="110"/>
      <c r="P1115" s="110">
        <v>2.0348920000000001</v>
      </c>
      <c r="Q1115" s="110"/>
      <c r="R1115" s="110"/>
      <c r="S1115" s="110"/>
      <c r="T1115" s="110"/>
    </row>
    <row r="1116" spans="1:20">
      <c r="A1116" s="110" t="s">
        <v>44</v>
      </c>
      <c r="B1116" s="110" t="s">
        <v>68</v>
      </c>
      <c r="C1116" s="110">
        <v>12700</v>
      </c>
      <c r="D1116" s="110">
        <v>28.013000000000002</v>
      </c>
      <c r="E1116" s="110">
        <v>400</v>
      </c>
      <c r="F1116" s="110">
        <v>323.14999999999998</v>
      </c>
      <c r="G1116" s="110">
        <v>0.99990188264224211</v>
      </c>
      <c r="H1116" s="110">
        <v>1.4056091164505502</v>
      </c>
      <c r="I1116" s="110">
        <v>1114.1669999999999</v>
      </c>
      <c r="J1116" s="110">
        <v>476.88760000000002</v>
      </c>
      <c r="K1116" s="110">
        <v>1.0049039542372271</v>
      </c>
      <c r="L1116" s="110">
        <v>1.3978966900960026</v>
      </c>
      <c r="M1116" s="110"/>
      <c r="N1116" s="110"/>
      <c r="O1116" s="110"/>
      <c r="P1116" s="110">
        <v>2.0466730000000002</v>
      </c>
      <c r="Q1116" s="110"/>
      <c r="R1116" s="110"/>
      <c r="S1116" s="110"/>
      <c r="T1116" s="110"/>
    </row>
    <row r="1117" spans="1:20">
      <c r="A1117" s="110" t="s">
        <v>44</v>
      </c>
      <c r="B1117" s="110" t="s">
        <v>68</v>
      </c>
      <c r="C1117" s="110">
        <v>12700</v>
      </c>
      <c r="D1117" s="110">
        <v>28.013000000000002</v>
      </c>
      <c r="E1117" s="110">
        <v>400</v>
      </c>
      <c r="F1117" s="110">
        <v>323.14999999999998</v>
      </c>
      <c r="G1117" s="110">
        <v>0.99990188264224211</v>
      </c>
      <c r="H1117" s="110">
        <v>1.4056091164505502</v>
      </c>
      <c r="I1117" s="110">
        <v>1107.671</v>
      </c>
      <c r="J1117" s="110">
        <v>474.48520000000002</v>
      </c>
      <c r="K1117" s="110">
        <v>1.0045793752482963</v>
      </c>
      <c r="L1117" s="110">
        <v>1.3982103186547001</v>
      </c>
      <c r="M1117" s="110"/>
      <c r="N1117" s="110"/>
      <c r="O1117" s="110"/>
      <c r="P1117" s="110">
        <v>2.1501869999999998</v>
      </c>
      <c r="Q1117" s="110"/>
      <c r="R1117" s="110"/>
      <c r="S1117" s="110"/>
      <c r="T1117" s="110"/>
    </row>
    <row r="1118" spans="1:20">
      <c r="A1118" s="110" t="s">
        <v>44</v>
      </c>
      <c r="B1118" s="110" t="s">
        <v>68</v>
      </c>
      <c r="C1118" s="110">
        <v>12700</v>
      </c>
      <c r="D1118" s="110">
        <v>28.013000000000002</v>
      </c>
      <c r="E1118" s="110">
        <v>400</v>
      </c>
      <c r="F1118" s="110">
        <v>323.14999999999998</v>
      </c>
      <c r="G1118" s="110">
        <v>0.99990188264224211</v>
      </c>
      <c r="H1118" s="110">
        <v>1.4056091164505502</v>
      </c>
      <c r="I1118" s="110">
        <v>1100.577</v>
      </c>
      <c r="J1118" s="110">
        <v>472.22410000000002</v>
      </c>
      <c r="K1118" s="110">
        <v>1.0041850193257944</v>
      </c>
      <c r="L1118" s="110">
        <v>1.3984713461456033</v>
      </c>
      <c r="M1118" s="110"/>
      <c r="N1118" s="110"/>
      <c r="O1118" s="110"/>
      <c r="P1118" s="110">
        <v>2.2465989999999998</v>
      </c>
      <c r="Q1118" s="110"/>
      <c r="R1118" s="110"/>
      <c r="S1118" s="110"/>
      <c r="T1118" s="110"/>
    </row>
    <row r="1119" spans="1:20">
      <c r="A1119" s="110" t="s">
        <v>44</v>
      </c>
      <c r="B1119" s="110" t="s">
        <v>68</v>
      </c>
      <c r="C1119" s="110">
        <v>12700</v>
      </c>
      <c r="D1119" s="110">
        <v>28.013000000000002</v>
      </c>
      <c r="E1119" s="110">
        <v>400</v>
      </c>
      <c r="F1119" s="110">
        <v>323.14999999999998</v>
      </c>
      <c r="G1119" s="110">
        <v>0.99990188264224211</v>
      </c>
      <c r="H1119" s="110">
        <v>1.4056091164505502</v>
      </c>
      <c r="I1119" s="110">
        <v>1078.559</v>
      </c>
      <c r="J1119" s="110">
        <v>466.52379999999999</v>
      </c>
      <c r="K1119" s="110">
        <v>1.0030299557884206</v>
      </c>
      <c r="L1119" s="110">
        <v>1.4003699856588829</v>
      </c>
      <c r="M1119" s="110"/>
      <c r="N1119" s="110"/>
      <c r="O1119" s="110"/>
      <c r="P1119" s="110">
        <v>2.4773290000000001</v>
      </c>
      <c r="Q1119" s="110"/>
      <c r="R1119" s="110"/>
      <c r="S1119" s="110"/>
      <c r="T1119" s="110"/>
    </row>
    <row r="1120" spans="1:20">
      <c r="A1120" s="110" t="s">
        <v>44</v>
      </c>
      <c r="B1120" s="110" t="s">
        <v>68</v>
      </c>
      <c r="C1120" s="110">
        <v>12700</v>
      </c>
      <c r="D1120" s="110">
        <v>28.013000000000002</v>
      </c>
      <c r="E1120" s="110">
        <v>400</v>
      </c>
      <c r="F1120" s="110">
        <v>323.14999999999998</v>
      </c>
      <c r="G1120" s="110">
        <v>0.99990188264224211</v>
      </c>
      <c r="H1120" s="110">
        <v>1.4056091164505502</v>
      </c>
      <c r="I1120" s="110">
        <v>1044.634</v>
      </c>
      <c r="J1120" s="110">
        <v>459.7561</v>
      </c>
      <c r="K1120" s="110">
        <v>1.0028753017583529</v>
      </c>
      <c r="L1120" s="110">
        <v>1.4007047459602291</v>
      </c>
      <c r="M1120" s="110"/>
      <c r="N1120" s="110"/>
      <c r="O1120" s="110"/>
      <c r="P1120" s="110">
        <v>2.7683300000000002</v>
      </c>
      <c r="Q1120" s="110"/>
      <c r="R1120" s="110"/>
      <c r="S1120" s="110"/>
      <c r="T1120" s="110"/>
    </row>
    <row r="1121" spans="1:20">
      <c r="A1121" s="110" t="s">
        <v>44</v>
      </c>
      <c r="B1121" s="110" t="s">
        <v>68</v>
      </c>
      <c r="C1121" s="110">
        <v>12700</v>
      </c>
      <c r="D1121" s="110">
        <v>28.013000000000002</v>
      </c>
      <c r="E1121" s="110">
        <v>400</v>
      </c>
      <c r="F1121" s="110">
        <v>323.14999999999998</v>
      </c>
      <c r="G1121" s="110">
        <v>0.99990188264224211</v>
      </c>
      <c r="H1121" s="110">
        <v>1.4056091164505502</v>
      </c>
      <c r="I1121" s="110">
        <v>1011.783</v>
      </c>
      <c r="J1121" s="110">
        <v>454.73230000000001</v>
      </c>
      <c r="K1121" s="110">
        <v>1.0036925157603227</v>
      </c>
      <c r="L1121" s="110">
        <v>1.4008370261829401</v>
      </c>
      <c r="M1121" s="110"/>
      <c r="N1121" s="110"/>
      <c r="O1121" s="110"/>
      <c r="P1121" s="110">
        <v>2.9766859999999999</v>
      </c>
      <c r="Q1121" s="110"/>
      <c r="R1121" s="110"/>
      <c r="S1121" s="110"/>
      <c r="T1121" s="110"/>
    </row>
    <row r="1122" spans="1:20">
      <c r="A1122" s="110" t="s">
        <v>44</v>
      </c>
      <c r="B1122" s="110" t="s">
        <v>68</v>
      </c>
      <c r="C1122" s="110">
        <v>12700</v>
      </c>
      <c r="D1122" s="110">
        <v>28.013000000000002</v>
      </c>
      <c r="E1122" s="110">
        <v>400</v>
      </c>
      <c r="F1122" s="110">
        <v>323.14999999999998</v>
      </c>
      <c r="G1122" s="110">
        <v>0.99990188264224211</v>
      </c>
      <c r="H1122" s="110">
        <v>1.4056091164505502</v>
      </c>
      <c r="I1122" s="110">
        <v>1007.413</v>
      </c>
      <c r="J1122" s="110">
        <v>454.14729999999997</v>
      </c>
      <c r="K1122" s="110">
        <v>1.0038240459714567</v>
      </c>
      <c r="L1122" s="110">
        <v>1.4008288738441701</v>
      </c>
      <c r="M1122" s="110"/>
      <c r="N1122" s="110"/>
      <c r="O1122" s="110"/>
      <c r="P1122" s="110">
        <v>3</v>
      </c>
      <c r="Q1122" s="110"/>
      <c r="R1122" s="110"/>
      <c r="S1122" s="110"/>
      <c r="T1122" s="110"/>
    </row>
    <row r="1123" spans="1:20">
      <c r="A1123" s="110" t="s">
        <v>44</v>
      </c>
      <c r="B1123" s="110" t="s">
        <v>68</v>
      </c>
      <c r="C1123" s="110">
        <v>12700</v>
      </c>
      <c r="D1123" s="110">
        <v>28.013000000000002</v>
      </c>
      <c r="E1123" s="110">
        <v>400</v>
      </c>
      <c r="F1123" s="110">
        <v>323.14999999999998</v>
      </c>
      <c r="G1123" s="110">
        <v>0.99990188264224211</v>
      </c>
      <c r="H1123" s="110">
        <v>1.4056091164505502</v>
      </c>
      <c r="I1123" s="110">
        <v>1004.7729999999999</v>
      </c>
      <c r="J1123" s="110">
        <v>453.79809999999998</v>
      </c>
      <c r="K1123" s="110">
        <v>1.0039035100891915</v>
      </c>
      <c r="L1123" s="110">
        <v>1.4008220967999589</v>
      </c>
      <c r="M1123" s="110"/>
      <c r="N1123" s="110"/>
      <c r="O1123" s="110"/>
      <c r="P1123" s="110">
        <v>3.0137679999999998</v>
      </c>
      <c r="Q1123" s="110"/>
      <c r="R1123" s="110"/>
      <c r="S1123" s="110"/>
      <c r="T1123" s="110"/>
    </row>
    <row r="1124" spans="1:20">
      <c r="A1124" s="110" t="s">
        <v>44</v>
      </c>
      <c r="B1124" s="110" t="s">
        <v>68</v>
      </c>
      <c r="C1124" s="110">
        <v>12700</v>
      </c>
      <c r="D1124" s="110">
        <v>28.013000000000002</v>
      </c>
      <c r="E1124" s="110">
        <v>400</v>
      </c>
      <c r="F1124" s="110">
        <v>323.14999999999998</v>
      </c>
      <c r="G1124" s="110">
        <v>0.99990188264224211</v>
      </c>
      <c r="H1124" s="110">
        <v>1.4056091164505502</v>
      </c>
      <c r="I1124" s="110">
        <v>988.39039999999989</v>
      </c>
      <c r="J1124" s="110">
        <v>451.69189999999998</v>
      </c>
      <c r="K1124" s="110">
        <v>1.0043748352676658</v>
      </c>
      <c r="L1124" s="110">
        <v>1.4007534821158245</v>
      </c>
      <c r="M1124" s="110"/>
      <c r="N1124" s="110"/>
      <c r="O1124" s="110"/>
      <c r="P1124" s="110">
        <v>3.0970680000000002</v>
      </c>
      <c r="Q1124" s="110"/>
      <c r="R1124" s="110"/>
      <c r="S1124" s="110"/>
      <c r="T1124" s="110"/>
    </row>
    <row r="1125" spans="1:20">
      <c r="A1125" s="110" t="s">
        <v>44</v>
      </c>
      <c r="B1125" s="110" t="s">
        <v>68</v>
      </c>
      <c r="C1125" s="110">
        <v>12700</v>
      </c>
      <c r="D1125" s="110">
        <v>28.013000000000002</v>
      </c>
      <c r="E1125" s="110">
        <v>400</v>
      </c>
      <c r="F1125" s="110">
        <v>323.14999999999998</v>
      </c>
      <c r="G1125" s="110">
        <v>0.99990188264224211</v>
      </c>
      <c r="H1125" s="110">
        <v>1.4056091164505502</v>
      </c>
      <c r="I1125" s="110">
        <v>948.04139999999995</v>
      </c>
      <c r="J1125" s="110">
        <v>446.98149999999998</v>
      </c>
      <c r="K1125" s="110">
        <v>1.0050226336822883</v>
      </c>
      <c r="L1125" s="110">
        <v>1.4005508228262977</v>
      </c>
      <c r="M1125" s="110"/>
      <c r="N1125" s="110"/>
      <c r="O1125" s="110"/>
      <c r="P1125" s="110">
        <v>3.278127</v>
      </c>
      <c r="Q1125" s="110"/>
      <c r="R1125" s="110"/>
      <c r="S1125" s="110"/>
      <c r="T1125" s="110"/>
    </row>
    <row r="1126" spans="1:20">
      <c r="A1126" s="110" t="s">
        <v>44</v>
      </c>
      <c r="B1126" s="110" t="s">
        <v>68</v>
      </c>
      <c r="C1126" s="110">
        <v>12700</v>
      </c>
      <c r="D1126" s="110">
        <v>28.013000000000002</v>
      </c>
      <c r="E1126" s="110">
        <v>400</v>
      </c>
      <c r="F1126" s="110">
        <v>323.14999999999998</v>
      </c>
      <c r="G1126" s="110">
        <v>0.99990188264224211</v>
      </c>
      <c r="H1126" s="110">
        <v>1.4056091164505502</v>
      </c>
      <c r="I1126" s="110">
        <v>922.57409999999993</v>
      </c>
      <c r="J1126" s="110">
        <v>444.42930000000001</v>
      </c>
      <c r="K1126" s="110">
        <v>1.0047561511357388</v>
      </c>
      <c r="L1126" s="110">
        <v>1.4005856488743227</v>
      </c>
      <c r="M1126" s="110"/>
      <c r="N1126" s="110"/>
      <c r="O1126" s="110"/>
      <c r="P1126" s="110">
        <v>3.3701539999999999</v>
      </c>
      <c r="Q1126" s="110"/>
      <c r="R1126" s="110"/>
      <c r="S1126" s="110"/>
      <c r="T1126" s="110"/>
    </row>
    <row r="1127" spans="1:20">
      <c r="A1127" s="110" t="s">
        <v>44</v>
      </c>
      <c r="B1127" s="110" t="s">
        <v>68</v>
      </c>
      <c r="C1127" s="110">
        <v>12700</v>
      </c>
      <c r="D1127" s="110">
        <v>28.013000000000002</v>
      </c>
      <c r="E1127" s="110">
        <v>400</v>
      </c>
      <c r="F1127" s="110">
        <v>323.14999999999998</v>
      </c>
      <c r="G1127" s="110">
        <v>0.99990188264224211</v>
      </c>
      <c r="H1127" s="110">
        <v>1.4056091164505502</v>
      </c>
      <c r="I1127" s="110">
        <v>875.27799999999991</v>
      </c>
      <c r="J1127" s="110">
        <v>440.34609999999998</v>
      </c>
      <c r="K1127" s="110">
        <v>1.0023133737034786</v>
      </c>
      <c r="L1127" s="110">
        <v>1.4016715651971421</v>
      </c>
      <c r="M1127" s="110"/>
      <c r="N1127" s="110"/>
      <c r="O1127" s="110"/>
      <c r="P1127" s="110">
        <v>3.5047549999999998</v>
      </c>
      <c r="Q1127" s="110"/>
      <c r="R1127" s="110"/>
      <c r="S1127" s="110"/>
      <c r="T1127" s="110"/>
    </row>
    <row r="1128" spans="1:20">
      <c r="A1128" s="110" t="s">
        <v>44</v>
      </c>
      <c r="B1128" s="110" t="s">
        <v>68</v>
      </c>
      <c r="C1128" s="110">
        <v>12700</v>
      </c>
      <c r="D1128" s="110">
        <v>28.013000000000002</v>
      </c>
      <c r="E1128" s="110">
        <v>400</v>
      </c>
      <c r="F1128" s="110">
        <v>323.14999999999998</v>
      </c>
      <c r="G1128" s="110">
        <v>0.99990188264224211</v>
      </c>
      <c r="H1128" s="110">
        <v>1.4056091164505502</v>
      </c>
      <c r="I1128" s="110">
        <v>852.69429999999988</v>
      </c>
      <c r="J1128" s="110">
        <v>438.5745</v>
      </c>
      <c r="K1128" s="110">
        <v>1.0018224046412141</v>
      </c>
      <c r="L1128" s="110">
        <v>1.4016540858024498</v>
      </c>
      <c r="M1128" s="110"/>
      <c r="N1128" s="110"/>
      <c r="O1128" s="110"/>
      <c r="P1128" s="110">
        <v>3.5585529999999999</v>
      </c>
      <c r="Q1128" s="110"/>
      <c r="R1128" s="110"/>
      <c r="S1128" s="110"/>
      <c r="T1128" s="110"/>
    </row>
    <row r="1129" spans="1:20">
      <c r="A1129" s="110" t="s">
        <v>44</v>
      </c>
      <c r="B1129" s="110" t="s">
        <v>68</v>
      </c>
      <c r="C1129" s="110">
        <v>12700</v>
      </c>
      <c r="D1129" s="110">
        <v>28.013000000000002</v>
      </c>
      <c r="E1129" s="110">
        <v>400</v>
      </c>
      <c r="F1129" s="110">
        <v>323.14999999999998</v>
      </c>
      <c r="G1129" s="110">
        <v>0.99990188264224211</v>
      </c>
      <c r="H1129" s="110">
        <v>1.4056091164505502</v>
      </c>
      <c r="I1129" s="110">
        <v>806.4054000000001</v>
      </c>
      <c r="J1129" s="110">
        <v>435.2396</v>
      </c>
      <c r="K1129" s="110">
        <v>1.0032141275124862</v>
      </c>
      <c r="L1129" s="110">
        <v>1.4012191089288684</v>
      </c>
      <c r="M1129" s="110"/>
      <c r="N1129" s="110"/>
      <c r="O1129" s="110"/>
      <c r="P1129" s="110">
        <v>3.652434</v>
      </c>
      <c r="Q1129" s="110"/>
      <c r="R1129" s="110"/>
      <c r="S1129" s="110"/>
      <c r="T1129" s="110"/>
    </row>
    <row r="1130" spans="1:20">
      <c r="A1130" s="110" t="s">
        <v>44</v>
      </c>
      <c r="B1130" s="110" t="s">
        <v>68</v>
      </c>
      <c r="C1130" s="110">
        <v>12700</v>
      </c>
      <c r="D1130" s="110">
        <v>28.013000000000002</v>
      </c>
      <c r="E1130" s="110">
        <v>400</v>
      </c>
      <c r="F1130" s="110">
        <v>323.14999999999998</v>
      </c>
      <c r="G1130" s="110">
        <v>0.99990188264224211</v>
      </c>
      <c r="H1130" s="110">
        <v>1.4056091164505502</v>
      </c>
      <c r="I1130" s="110">
        <v>782.14249999999993</v>
      </c>
      <c r="J1130" s="110">
        <v>433.60300000000001</v>
      </c>
      <c r="K1130" s="110">
        <v>1.0040156613620574</v>
      </c>
      <c r="L1130" s="110">
        <v>1.4009061154260933</v>
      </c>
      <c r="M1130" s="110"/>
      <c r="N1130" s="110"/>
      <c r="O1130" s="110"/>
      <c r="P1130" s="110">
        <v>3.694569</v>
      </c>
      <c r="Q1130" s="110"/>
      <c r="R1130" s="110"/>
      <c r="S1130" s="110"/>
      <c r="T1130" s="110"/>
    </row>
    <row r="1131" spans="1:20">
      <c r="A1131" s="110" t="s">
        <v>44</v>
      </c>
      <c r="B1131" s="110" t="s">
        <v>68</v>
      </c>
      <c r="C1131" s="110">
        <v>12700</v>
      </c>
      <c r="D1131" s="110">
        <v>28.013000000000002</v>
      </c>
      <c r="E1131" s="110">
        <v>400</v>
      </c>
      <c r="F1131" s="110">
        <v>323.14999999999998</v>
      </c>
      <c r="G1131" s="110">
        <v>0.99990188264224211</v>
      </c>
      <c r="H1131" s="110">
        <v>1.4056091164505502</v>
      </c>
      <c r="I1131" s="110">
        <v>734.55920000000003</v>
      </c>
      <c r="J1131" s="110">
        <v>430.57249999999999</v>
      </c>
      <c r="K1131" s="110">
        <v>1.0037188905288414</v>
      </c>
      <c r="L1131" s="110">
        <v>1.4006301216350179</v>
      </c>
      <c r="M1131" s="110"/>
      <c r="N1131" s="110"/>
      <c r="O1131" s="110"/>
      <c r="P1131" s="110">
        <v>3.7646229999999998</v>
      </c>
      <c r="Q1131" s="110"/>
      <c r="R1131" s="110"/>
      <c r="S1131" s="110"/>
      <c r="T1131" s="110"/>
    </row>
    <row r="1132" spans="1:20">
      <c r="A1132" s="110" t="s">
        <v>44</v>
      </c>
      <c r="B1132" s="110" t="s">
        <v>68</v>
      </c>
      <c r="C1132" s="110">
        <v>12700</v>
      </c>
      <c r="D1132" s="110">
        <v>28.013000000000002</v>
      </c>
      <c r="E1132" s="110">
        <v>400</v>
      </c>
      <c r="F1132" s="110">
        <v>323.14999999999998</v>
      </c>
      <c r="G1132" s="110">
        <v>0.99990188264224211</v>
      </c>
      <c r="H1132" s="110">
        <v>1.4056091164505502</v>
      </c>
      <c r="I1132" s="110">
        <v>709.66980000000001</v>
      </c>
      <c r="J1132" s="110">
        <v>429.0926</v>
      </c>
      <c r="K1132" s="110">
        <v>1.0019849125476605</v>
      </c>
      <c r="L1132" s="110">
        <v>1.4015074540386363</v>
      </c>
      <c r="M1132" s="110"/>
      <c r="N1132" s="110"/>
      <c r="O1132" s="110"/>
      <c r="P1132" s="110">
        <v>3.795026</v>
      </c>
      <c r="Q1132" s="110"/>
      <c r="R1132" s="110"/>
      <c r="S1132" s="110"/>
      <c r="T1132" s="110"/>
    </row>
    <row r="1133" spans="1:20">
      <c r="A1133" s="110" t="s">
        <v>44</v>
      </c>
      <c r="B1133" s="110" t="s">
        <v>68</v>
      </c>
      <c r="C1133" s="110">
        <v>12700</v>
      </c>
      <c r="D1133" s="110">
        <v>28.013000000000002</v>
      </c>
      <c r="E1133" s="110">
        <v>400</v>
      </c>
      <c r="F1133" s="110">
        <v>323.14999999999998</v>
      </c>
      <c r="G1133" s="110">
        <v>0.99990188264224211</v>
      </c>
      <c r="H1133" s="110">
        <v>1.4056091164505502</v>
      </c>
      <c r="I1133" s="110">
        <v>666.0874</v>
      </c>
      <c r="J1133" s="110">
        <v>426.56529999999998</v>
      </c>
      <c r="K1133" s="110">
        <v>1.0018529892061154</v>
      </c>
      <c r="L1133" s="110">
        <v>1.401337133954899</v>
      </c>
      <c r="M1133" s="110"/>
      <c r="N1133" s="110"/>
      <c r="O1133" s="110"/>
      <c r="P1133" s="110">
        <v>3.8429329999999999</v>
      </c>
      <c r="Q1133" s="110"/>
      <c r="R1133" s="110"/>
      <c r="S1133" s="110"/>
      <c r="T1133" s="110"/>
    </row>
    <row r="1134" spans="1:20">
      <c r="A1134" s="110" t="s">
        <v>44</v>
      </c>
      <c r="B1134" s="110" t="s">
        <v>68</v>
      </c>
      <c r="C1134" s="110">
        <v>12700</v>
      </c>
      <c r="D1134" s="110">
        <v>28.013000000000002</v>
      </c>
      <c r="E1134" s="110">
        <v>400</v>
      </c>
      <c r="F1134" s="110">
        <v>323.14999999999998</v>
      </c>
      <c r="G1134" s="110">
        <v>0.99990188264224211</v>
      </c>
      <c r="H1134" s="110">
        <v>1.4056091164505502</v>
      </c>
      <c r="I1134" s="110">
        <v>653.66399999999999</v>
      </c>
      <c r="J1134" s="110">
        <v>425.86500000000001</v>
      </c>
      <c r="K1134" s="110">
        <v>1.00246191095626</v>
      </c>
      <c r="L1134" s="110">
        <v>1.401172235647463</v>
      </c>
      <c r="M1134" s="110"/>
      <c r="N1134" s="110"/>
      <c r="O1134" s="110"/>
      <c r="P1134" s="110">
        <v>3.85554</v>
      </c>
      <c r="Q1134" s="110"/>
      <c r="R1134" s="110"/>
      <c r="S1134" s="110"/>
      <c r="T1134" s="110"/>
    </row>
    <row r="1135" spans="1:20">
      <c r="A1135" s="110" t="s">
        <v>44</v>
      </c>
      <c r="B1135" s="110" t="s">
        <v>68</v>
      </c>
      <c r="C1135" s="110">
        <v>12065</v>
      </c>
      <c r="D1135" s="110">
        <v>28.013000000000002</v>
      </c>
      <c r="E1135" s="110">
        <v>400</v>
      </c>
      <c r="F1135" s="110">
        <v>323.14999999999998</v>
      </c>
      <c r="G1135" s="110">
        <v>0.99990188264224211</v>
      </c>
      <c r="H1135" s="110">
        <v>1.4056091164505502</v>
      </c>
      <c r="I1135" s="110">
        <v>1022.249</v>
      </c>
      <c r="J1135" s="110">
        <v>464.79480000000001</v>
      </c>
      <c r="K1135" s="110">
        <v>1.0034739214811581</v>
      </c>
      <c r="L1135" s="110">
        <v>1.3998794967917694</v>
      </c>
      <c r="M1135" s="110"/>
      <c r="N1135" s="110"/>
      <c r="O1135" s="110"/>
      <c r="P1135" s="110">
        <v>1.8256049999999999</v>
      </c>
      <c r="Q1135" s="110"/>
      <c r="R1135" s="110"/>
      <c r="S1135" s="110"/>
      <c r="T1135" s="110"/>
    </row>
    <row r="1136" spans="1:20">
      <c r="A1136" s="110" t="s">
        <v>44</v>
      </c>
      <c r="B1136" s="110" t="s">
        <v>68</v>
      </c>
      <c r="C1136" s="110">
        <v>12065</v>
      </c>
      <c r="D1136" s="110">
        <v>28.013000000000002</v>
      </c>
      <c r="E1136" s="110">
        <v>400</v>
      </c>
      <c r="F1136" s="110">
        <v>323.14999999999998</v>
      </c>
      <c r="G1136" s="110">
        <v>0.99990188264224211</v>
      </c>
      <c r="H1136" s="110">
        <v>1.4056091164505502</v>
      </c>
      <c r="I1136" s="110">
        <v>1019.4229999999999</v>
      </c>
      <c r="J1136" s="110">
        <v>463.29930000000002</v>
      </c>
      <c r="K1136" s="110">
        <v>1.0035448957244539</v>
      </c>
      <c r="L1136" s="110">
        <v>1.3999373482678015</v>
      </c>
      <c r="M1136" s="110"/>
      <c r="N1136" s="110"/>
      <c r="O1136" s="110"/>
      <c r="P1136" s="110">
        <v>1.8891210000000001</v>
      </c>
      <c r="Q1136" s="110"/>
      <c r="R1136" s="110"/>
      <c r="S1136" s="110"/>
      <c r="T1136" s="110"/>
    </row>
    <row r="1137" spans="1:20">
      <c r="A1137" s="110" t="s">
        <v>44</v>
      </c>
      <c r="B1137" s="110" t="s">
        <v>68</v>
      </c>
      <c r="C1137" s="110">
        <v>12065</v>
      </c>
      <c r="D1137" s="110">
        <v>28.013000000000002</v>
      </c>
      <c r="E1137" s="110">
        <v>400</v>
      </c>
      <c r="F1137" s="110">
        <v>323.14999999999998</v>
      </c>
      <c r="G1137" s="110">
        <v>0.99990188264224211</v>
      </c>
      <c r="H1137" s="110">
        <v>1.4056091164505502</v>
      </c>
      <c r="I1137" s="110">
        <v>1015.1189999999999</v>
      </c>
      <c r="J1137" s="110">
        <v>461.46510000000001</v>
      </c>
      <c r="K1137" s="110">
        <v>1.0036589378578322</v>
      </c>
      <c r="L1137" s="110">
        <v>1.4000749543065709</v>
      </c>
      <c r="M1137" s="110"/>
      <c r="N1137" s="110"/>
      <c r="O1137" s="110"/>
      <c r="P1137" s="110">
        <v>1.9667559999999999</v>
      </c>
      <c r="Q1137" s="110"/>
      <c r="R1137" s="110"/>
      <c r="S1137" s="110"/>
      <c r="T1137" s="110"/>
    </row>
    <row r="1138" spans="1:20">
      <c r="A1138" s="110" t="s">
        <v>44</v>
      </c>
      <c r="B1138" s="110" t="s">
        <v>68</v>
      </c>
      <c r="C1138" s="110">
        <v>12065</v>
      </c>
      <c r="D1138" s="110">
        <v>28.013000000000002</v>
      </c>
      <c r="E1138" s="110">
        <v>400</v>
      </c>
      <c r="F1138" s="110">
        <v>323.14999999999998</v>
      </c>
      <c r="G1138" s="110">
        <v>0.99990188264224211</v>
      </c>
      <c r="H1138" s="110">
        <v>1.4056091164505502</v>
      </c>
      <c r="I1138" s="110">
        <v>1004.5970000000001</v>
      </c>
      <c r="J1138" s="110">
        <v>457.84350000000001</v>
      </c>
      <c r="K1138" s="110">
        <v>1.0039515868988793</v>
      </c>
      <c r="L1138" s="110">
        <v>1.4003923606755546</v>
      </c>
      <c r="M1138" s="110"/>
      <c r="N1138" s="110"/>
      <c r="O1138" s="110"/>
      <c r="P1138" s="110">
        <v>2.1186229999999999</v>
      </c>
      <c r="Q1138" s="110"/>
      <c r="R1138" s="110"/>
      <c r="S1138" s="110"/>
      <c r="T1138" s="110"/>
    </row>
    <row r="1139" spans="1:20">
      <c r="A1139" s="110" t="s">
        <v>44</v>
      </c>
      <c r="B1139" s="110" t="s">
        <v>68</v>
      </c>
      <c r="C1139" s="110">
        <v>12065</v>
      </c>
      <c r="D1139" s="110">
        <v>28.013000000000002</v>
      </c>
      <c r="E1139" s="110">
        <v>400</v>
      </c>
      <c r="F1139" s="110">
        <v>323.14999999999998</v>
      </c>
      <c r="G1139" s="110">
        <v>0.99990188264224211</v>
      </c>
      <c r="H1139" s="110">
        <v>1.4056091164505502</v>
      </c>
      <c r="I1139" s="110">
        <v>994.34190000000001</v>
      </c>
      <c r="J1139" s="110">
        <v>454.93369999999999</v>
      </c>
      <c r="K1139" s="110">
        <v>1.004236439948738</v>
      </c>
      <c r="L1139" s="110">
        <v>1.4005552617098915</v>
      </c>
      <c r="M1139" s="110"/>
      <c r="N1139" s="110"/>
      <c r="O1139" s="110"/>
      <c r="P1139" s="110">
        <v>2.2369669999999999</v>
      </c>
      <c r="Q1139" s="110"/>
      <c r="R1139" s="110"/>
      <c r="S1139" s="110"/>
      <c r="T1139" s="110"/>
    </row>
    <row r="1140" spans="1:20">
      <c r="A1140" s="110" t="s">
        <v>44</v>
      </c>
      <c r="B1140" s="110" t="s">
        <v>68</v>
      </c>
      <c r="C1140" s="110">
        <v>12065</v>
      </c>
      <c r="D1140" s="110">
        <v>28.013000000000002</v>
      </c>
      <c r="E1140" s="110">
        <v>400</v>
      </c>
      <c r="F1140" s="110">
        <v>323.14999999999998</v>
      </c>
      <c r="G1140" s="110">
        <v>0.99990188264224211</v>
      </c>
      <c r="H1140" s="110">
        <v>1.4056091164505502</v>
      </c>
      <c r="I1140" s="110">
        <v>984.75639999999999</v>
      </c>
      <c r="J1140" s="110">
        <v>452.56290000000001</v>
      </c>
      <c r="K1140" s="110">
        <v>1.0044835833669548</v>
      </c>
      <c r="L1140" s="110">
        <v>1.4006271004260524</v>
      </c>
      <c r="M1140" s="110"/>
      <c r="N1140" s="110"/>
      <c r="O1140" s="110"/>
      <c r="P1140" s="110">
        <v>2.3324590000000001</v>
      </c>
      <c r="Q1140" s="110"/>
      <c r="R1140" s="110"/>
      <c r="S1140" s="110"/>
      <c r="T1140" s="110"/>
    </row>
    <row r="1141" spans="1:20">
      <c r="A1141" s="110" t="s">
        <v>44</v>
      </c>
      <c r="B1141" s="110" t="s">
        <v>68</v>
      </c>
      <c r="C1141" s="110">
        <v>12065</v>
      </c>
      <c r="D1141" s="110">
        <v>28.013000000000002</v>
      </c>
      <c r="E1141" s="110">
        <v>400</v>
      </c>
      <c r="F1141" s="110">
        <v>323.14999999999998</v>
      </c>
      <c r="G1141" s="110">
        <v>0.99990188264224211</v>
      </c>
      <c r="H1141" s="110">
        <v>1.4056091164505502</v>
      </c>
      <c r="I1141" s="110">
        <v>974.23749999999995</v>
      </c>
      <c r="J1141" s="110">
        <v>450.17910000000001</v>
      </c>
      <c r="K1141" s="110">
        <v>1.0047148860951927</v>
      </c>
      <c r="L1141" s="110">
        <v>1.4006493075355748</v>
      </c>
      <c r="M1141" s="110"/>
      <c r="N1141" s="110"/>
      <c r="O1141" s="110"/>
      <c r="P1141" s="110">
        <v>2.4356879999999999</v>
      </c>
      <c r="Q1141" s="110"/>
      <c r="R1141" s="110"/>
      <c r="S1141" s="110"/>
      <c r="T1141" s="110"/>
    </row>
    <row r="1142" spans="1:20">
      <c r="A1142" s="110" t="s">
        <v>44</v>
      </c>
      <c r="B1142" s="110" t="s">
        <v>68</v>
      </c>
      <c r="C1142" s="110">
        <v>12065</v>
      </c>
      <c r="D1142" s="110">
        <v>28.013000000000002</v>
      </c>
      <c r="E1142" s="110">
        <v>400</v>
      </c>
      <c r="F1142" s="110">
        <v>323.14999999999998</v>
      </c>
      <c r="G1142" s="110">
        <v>0.99990188264224211</v>
      </c>
      <c r="H1142" s="110">
        <v>1.4056091164505502</v>
      </c>
      <c r="I1142" s="110">
        <v>973.50850000000003</v>
      </c>
      <c r="J1142" s="110">
        <v>450.0231</v>
      </c>
      <c r="K1142" s="110">
        <v>1.0047289577904073</v>
      </c>
      <c r="L1142" s="110">
        <v>1.4006489182162762</v>
      </c>
      <c r="M1142" s="110"/>
      <c r="N1142" s="110"/>
      <c r="O1142" s="110"/>
      <c r="P1142" s="110">
        <v>2.4426480000000002</v>
      </c>
      <c r="Q1142" s="110"/>
      <c r="R1142" s="110"/>
      <c r="S1142" s="110"/>
      <c r="T1142" s="110"/>
    </row>
    <row r="1143" spans="1:20">
      <c r="A1143" s="110" t="s">
        <v>44</v>
      </c>
      <c r="B1143" s="110" t="s">
        <v>68</v>
      </c>
      <c r="C1143" s="110">
        <v>12065</v>
      </c>
      <c r="D1143" s="110">
        <v>28.013000000000002</v>
      </c>
      <c r="E1143" s="110">
        <v>400</v>
      </c>
      <c r="F1143" s="110">
        <v>323.14999999999998</v>
      </c>
      <c r="G1143" s="110">
        <v>0.99990188264224211</v>
      </c>
      <c r="H1143" s="110">
        <v>1.4056091164505502</v>
      </c>
      <c r="I1143" s="110">
        <v>949.33820000000003</v>
      </c>
      <c r="J1143" s="110">
        <v>445.59829999999999</v>
      </c>
      <c r="K1143" s="110">
        <v>1.0050018229958244</v>
      </c>
      <c r="L1143" s="110">
        <v>1.4007674267182975</v>
      </c>
      <c r="M1143" s="110"/>
      <c r="N1143" s="110"/>
      <c r="O1143" s="110"/>
      <c r="P1143" s="110">
        <v>2.6309079999999998</v>
      </c>
      <c r="Q1143" s="110"/>
      <c r="R1143" s="110"/>
      <c r="S1143" s="110"/>
      <c r="T1143" s="110"/>
    </row>
    <row r="1144" spans="1:20">
      <c r="A1144" s="110" t="s">
        <v>44</v>
      </c>
      <c r="B1144" s="110" t="s">
        <v>68</v>
      </c>
      <c r="C1144" s="110">
        <v>12065</v>
      </c>
      <c r="D1144" s="110">
        <v>28.013000000000002</v>
      </c>
      <c r="E1144" s="110">
        <v>400</v>
      </c>
      <c r="F1144" s="110">
        <v>323.14999999999998</v>
      </c>
      <c r="G1144" s="110">
        <v>0.99990188264224211</v>
      </c>
      <c r="H1144" s="110">
        <v>1.4056091164505502</v>
      </c>
      <c r="I1144" s="110">
        <v>939.34780000000001</v>
      </c>
      <c r="J1144" s="110">
        <v>444.02409999999998</v>
      </c>
      <c r="K1144" s="110">
        <v>1.0049797646032133</v>
      </c>
      <c r="L1144" s="110">
        <v>1.4008434961781078</v>
      </c>
      <c r="M1144" s="110"/>
      <c r="N1144" s="110"/>
      <c r="O1144" s="110"/>
      <c r="P1144" s="110">
        <v>2.6965439999999998</v>
      </c>
      <c r="Q1144" s="110"/>
      <c r="R1144" s="110"/>
      <c r="S1144" s="110"/>
      <c r="T1144" s="110"/>
    </row>
    <row r="1145" spans="1:20">
      <c r="A1145" s="110" t="s">
        <v>44</v>
      </c>
      <c r="B1145" s="110" t="s">
        <v>68</v>
      </c>
      <c r="C1145" s="110">
        <v>12065</v>
      </c>
      <c r="D1145" s="110">
        <v>28.013000000000002</v>
      </c>
      <c r="E1145" s="110">
        <v>400</v>
      </c>
      <c r="F1145" s="110">
        <v>323.14999999999998</v>
      </c>
      <c r="G1145" s="110">
        <v>0.99990188264224211</v>
      </c>
      <c r="H1145" s="110">
        <v>1.4056091164505502</v>
      </c>
      <c r="I1145" s="110">
        <v>919.69910000000004</v>
      </c>
      <c r="J1145" s="110">
        <v>441.21319999999997</v>
      </c>
      <c r="K1145" s="110">
        <v>1.0046490645543613</v>
      </c>
      <c r="L1145" s="110">
        <v>1.4009428073635963</v>
      </c>
      <c r="M1145" s="110"/>
      <c r="N1145" s="110"/>
      <c r="O1145" s="110"/>
      <c r="P1145" s="110">
        <v>2.8118240000000001</v>
      </c>
      <c r="Q1145" s="110"/>
      <c r="R1145" s="110"/>
      <c r="S1145" s="110"/>
      <c r="T1145" s="110"/>
    </row>
    <row r="1146" spans="1:20">
      <c r="A1146" s="110" t="s">
        <v>44</v>
      </c>
      <c r="B1146" s="110" t="s">
        <v>68</v>
      </c>
      <c r="C1146" s="110">
        <v>12065</v>
      </c>
      <c r="D1146" s="110">
        <v>28.013000000000002</v>
      </c>
      <c r="E1146" s="110">
        <v>400</v>
      </c>
      <c r="F1146" s="110">
        <v>323.14999999999998</v>
      </c>
      <c r="G1146" s="110">
        <v>0.99990188264224211</v>
      </c>
      <c r="H1146" s="110">
        <v>1.4056091164505502</v>
      </c>
      <c r="I1146" s="110">
        <v>909.12459999999999</v>
      </c>
      <c r="J1146" s="110">
        <v>439.81189999999998</v>
      </c>
      <c r="K1146" s="110">
        <v>1.0042920083572124</v>
      </c>
      <c r="L1146" s="110">
        <v>1.4009830622776767</v>
      </c>
      <c r="M1146" s="110"/>
      <c r="N1146" s="110"/>
      <c r="O1146" s="110"/>
      <c r="P1146" s="110">
        <v>2.8684189999999998</v>
      </c>
      <c r="Q1146" s="110"/>
      <c r="R1146" s="110"/>
      <c r="S1146" s="110"/>
      <c r="T1146" s="110"/>
    </row>
    <row r="1147" spans="1:20">
      <c r="A1147" s="110" t="s">
        <v>44</v>
      </c>
      <c r="B1147" s="110" t="s">
        <v>68</v>
      </c>
      <c r="C1147" s="110">
        <v>12065</v>
      </c>
      <c r="D1147" s="110">
        <v>28.013000000000002</v>
      </c>
      <c r="E1147" s="110">
        <v>400</v>
      </c>
      <c r="F1147" s="110">
        <v>323.14999999999998</v>
      </c>
      <c r="G1147" s="110">
        <v>0.99990188264224211</v>
      </c>
      <c r="H1147" s="110">
        <v>1.4056091164505502</v>
      </c>
      <c r="I1147" s="110">
        <v>874.82989999999995</v>
      </c>
      <c r="J1147" s="110">
        <v>435.63010000000003</v>
      </c>
      <c r="K1147" s="110">
        <v>1.0022363270736327</v>
      </c>
      <c r="L1147" s="110">
        <v>1.4019991135473093</v>
      </c>
      <c r="M1147" s="110"/>
      <c r="N1147" s="110"/>
      <c r="O1147" s="110"/>
      <c r="P1147" s="110">
        <v>3.032867</v>
      </c>
      <c r="Q1147" s="110"/>
      <c r="R1147" s="110"/>
      <c r="S1147" s="110"/>
      <c r="T1147" s="110"/>
    </row>
    <row r="1148" spans="1:20">
      <c r="A1148" s="110" t="s">
        <v>44</v>
      </c>
      <c r="B1148" s="110" t="s">
        <v>68</v>
      </c>
      <c r="C1148" s="110">
        <v>12065</v>
      </c>
      <c r="D1148" s="110">
        <v>28.013000000000002</v>
      </c>
      <c r="E1148" s="110">
        <v>400</v>
      </c>
      <c r="F1148" s="110">
        <v>323.14999999999998</v>
      </c>
      <c r="G1148" s="110">
        <v>0.99990188264224211</v>
      </c>
      <c r="H1148" s="110">
        <v>1.4056091164505502</v>
      </c>
      <c r="I1148" s="110">
        <v>854.74320000000012</v>
      </c>
      <c r="J1148" s="110">
        <v>433.44799999999998</v>
      </c>
      <c r="K1148" s="110">
        <v>1.0017569080061455</v>
      </c>
      <c r="L1148" s="110">
        <v>1.4019650949891584</v>
      </c>
      <c r="M1148" s="110"/>
      <c r="N1148" s="110"/>
      <c r="O1148" s="110"/>
      <c r="P1148" s="110">
        <v>3.1144129999999999</v>
      </c>
      <c r="Q1148" s="110"/>
      <c r="R1148" s="110"/>
      <c r="S1148" s="110"/>
      <c r="T1148" s="110"/>
    </row>
    <row r="1149" spans="1:20">
      <c r="A1149" s="110" t="s">
        <v>44</v>
      </c>
      <c r="B1149" s="110" t="s">
        <v>68</v>
      </c>
      <c r="C1149" s="110">
        <v>12065</v>
      </c>
      <c r="D1149" s="110">
        <v>28.013000000000002</v>
      </c>
      <c r="E1149" s="110">
        <v>400</v>
      </c>
      <c r="F1149" s="110">
        <v>323.14999999999998</v>
      </c>
      <c r="G1149" s="110">
        <v>0.99990188264224211</v>
      </c>
      <c r="H1149" s="110">
        <v>1.4056091164505502</v>
      </c>
      <c r="I1149" s="110">
        <v>811.91010000000006</v>
      </c>
      <c r="J1149" s="110">
        <v>429.53739999999999</v>
      </c>
      <c r="K1149" s="110">
        <v>1.002927925084625</v>
      </c>
      <c r="L1149" s="110">
        <v>1.4018986720054993</v>
      </c>
      <c r="M1149" s="110"/>
      <c r="N1149" s="110"/>
      <c r="O1149" s="110"/>
      <c r="P1149" s="110">
        <v>3.2498629999999999</v>
      </c>
      <c r="Q1149" s="110"/>
      <c r="R1149" s="110"/>
      <c r="S1149" s="110"/>
      <c r="T1149" s="110"/>
    </row>
    <row r="1150" spans="1:20">
      <c r="A1150" s="110" t="s">
        <v>44</v>
      </c>
      <c r="B1150" s="110" t="s">
        <v>68</v>
      </c>
      <c r="C1150" s="110">
        <v>12065</v>
      </c>
      <c r="D1150" s="110">
        <v>28.013000000000002</v>
      </c>
      <c r="E1150" s="110">
        <v>400</v>
      </c>
      <c r="F1150" s="110">
        <v>323.14999999999998</v>
      </c>
      <c r="G1150" s="110">
        <v>0.99990188264224211</v>
      </c>
      <c r="H1150" s="110">
        <v>1.4056091164505502</v>
      </c>
      <c r="I1150" s="110">
        <v>793.43560000000002</v>
      </c>
      <c r="J1150" s="110">
        <v>428.01100000000002</v>
      </c>
      <c r="K1150" s="110">
        <v>1.0036125336728183</v>
      </c>
      <c r="L1150" s="110">
        <v>1.4017673983388632</v>
      </c>
      <c r="M1150" s="110"/>
      <c r="N1150" s="110"/>
      <c r="O1150" s="110"/>
      <c r="P1150" s="110">
        <v>3.2991000000000001</v>
      </c>
      <c r="Q1150" s="110"/>
      <c r="R1150" s="110"/>
      <c r="S1150" s="110"/>
      <c r="T1150" s="110"/>
    </row>
    <row r="1151" spans="1:20">
      <c r="A1151" s="110" t="s">
        <v>44</v>
      </c>
      <c r="B1151" s="110" t="s">
        <v>68</v>
      </c>
      <c r="C1151" s="110">
        <v>12065</v>
      </c>
      <c r="D1151" s="110">
        <v>28.013000000000002</v>
      </c>
      <c r="E1151" s="110">
        <v>400</v>
      </c>
      <c r="F1151" s="110">
        <v>323.14999999999998</v>
      </c>
      <c r="G1151" s="110">
        <v>0.99990188264224211</v>
      </c>
      <c r="H1151" s="110">
        <v>1.4056091164505502</v>
      </c>
      <c r="I1151" s="110">
        <v>753.20240000000001</v>
      </c>
      <c r="J1151" s="110">
        <v>424.95870000000002</v>
      </c>
      <c r="K1151" s="110">
        <v>1.0041600832857487</v>
      </c>
      <c r="L1151" s="110">
        <v>1.4014403034577447</v>
      </c>
      <c r="M1151" s="110"/>
      <c r="N1151" s="110"/>
      <c r="O1151" s="110"/>
      <c r="P1151" s="110">
        <v>3.3906710000000002</v>
      </c>
      <c r="Q1151" s="110"/>
      <c r="R1151" s="110"/>
      <c r="S1151" s="110"/>
      <c r="T1151" s="110"/>
    </row>
    <row r="1152" spans="1:20">
      <c r="A1152" s="110" t="s">
        <v>44</v>
      </c>
      <c r="B1152" s="110" t="s">
        <v>68</v>
      </c>
      <c r="C1152" s="110">
        <v>12065</v>
      </c>
      <c r="D1152" s="110">
        <v>28.013000000000002</v>
      </c>
      <c r="E1152" s="110">
        <v>400</v>
      </c>
      <c r="F1152" s="110">
        <v>323.14999999999998</v>
      </c>
      <c r="G1152" s="110">
        <v>0.99990188264224211</v>
      </c>
      <c r="H1152" s="110">
        <v>1.4056091164505502</v>
      </c>
      <c r="I1152" s="110">
        <v>732.7296</v>
      </c>
      <c r="J1152" s="110">
        <v>423.49779999999998</v>
      </c>
      <c r="K1152" s="110">
        <v>1.0035561450598618</v>
      </c>
      <c r="L1152" s="110">
        <v>1.4013357757375355</v>
      </c>
      <c r="M1152" s="110"/>
      <c r="N1152" s="110"/>
      <c r="O1152" s="110"/>
      <c r="P1152" s="110">
        <v>3.431279</v>
      </c>
      <c r="Q1152" s="110"/>
      <c r="R1152" s="110"/>
      <c r="S1152" s="110"/>
      <c r="T1152" s="110"/>
    </row>
    <row r="1153" spans="1:20">
      <c r="A1153" s="110" t="s">
        <v>44</v>
      </c>
      <c r="B1153" s="110" t="s">
        <v>68</v>
      </c>
      <c r="C1153" s="110">
        <v>12065</v>
      </c>
      <c r="D1153" s="110">
        <v>28.013000000000002</v>
      </c>
      <c r="E1153" s="110">
        <v>400</v>
      </c>
      <c r="F1153" s="110">
        <v>323.14999999999998</v>
      </c>
      <c r="G1153" s="110">
        <v>0.99990188264224211</v>
      </c>
      <c r="H1153" s="110">
        <v>1.4056091164505502</v>
      </c>
      <c r="I1153" s="110">
        <v>691.21230000000003</v>
      </c>
      <c r="J1153" s="110">
        <v>420.72899999999998</v>
      </c>
      <c r="K1153" s="110">
        <v>1.0011136460322412</v>
      </c>
      <c r="L1153" s="110">
        <v>1.4020161147966783</v>
      </c>
      <c r="M1153" s="110"/>
      <c r="N1153" s="110"/>
      <c r="O1153" s="110"/>
      <c r="P1153" s="110">
        <v>3.5019269999999998</v>
      </c>
      <c r="Q1153" s="110"/>
      <c r="R1153" s="110"/>
      <c r="S1153" s="110"/>
      <c r="T1153" s="110"/>
    </row>
    <row r="1154" spans="1:20">
      <c r="A1154" s="110" t="s">
        <v>44</v>
      </c>
      <c r="B1154" s="110" t="s">
        <v>68</v>
      </c>
      <c r="C1154" s="110">
        <v>12065</v>
      </c>
      <c r="D1154" s="110">
        <v>28.013000000000002</v>
      </c>
      <c r="E1154" s="110">
        <v>400</v>
      </c>
      <c r="F1154" s="110">
        <v>323.14999999999998</v>
      </c>
      <c r="G1154" s="110">
        <v>0.99990188264224211</v>
      </c>
      <c r="H1154" s="110">
        <v>1.4056091164505502</v>
      </c>
      <c r="I1154" s="110">
        <v>670.30719999999997</v>
      </c>
      <c r="J1154" s="110">
        <v>419.42939999999999</v>
      </c>
      <c r="K1154" s="110">
        <v>1.0015898990753125</v>
      </c>
      <c r="L1154" s="110">
        <v>1.4017956314033735</v>
      </c>
      <c r="M1154" s="110"/>
      <c r="N1154" s="110"/>
      <c r="O1154" s="110"/>
      <c r="P1154" s="110">
        <v>3.5327250000000001</v>
      </c>
      <c r="Q1154" s="110"/>
      <c r="R1154" s="110"/>
      <c r="S1154" s="110"/>
      <c r="T1154" s="110"/>
    </row>
    <row r="1155" spans="1:20">
      <c r="A1155" s="110" t="s">
        <v>44</v>
      </c>
      <c r="B1155" s="110" t="s">
        <v>68</v>
      </c>
      <c r="C1155" s="110">
        <v>12065</v>
      </c>
      <c r="D1155" s="110">
        <v>28.013000000000002</v>
      </c>
      <c r="E1155" s="110">
        <v>400</v>
      </c>
      <c r="F1155" s="110">
        <v>323.14999999999998</v>
      </c>
      <c r="G1155" s="110">
        <v>0.99990188264224211</v>
      </c>
      <c r="H1155" s="110">
        <v>1.4056091164505502</v>
      </c>
      <c r="I1155" s="110">
        <v>630.60630000000003</v>
      </c>
      <c r="J1155" s="110">
        <v>417.0419</v>
      </c>
      <c r="K1155" s="110">
        <v>1.0033861345719073</v>
      </c>
      <c r="L1155" s="110">
        <v>1.4013500079407983</v>
      </c>
      <c r="M1155" s="110"/>
      <c r="N1155" s="110"/>
      <c r="O1155" s="110"/>
      <c r="P1155" s="110">
        <v>3.584975</v>
      </c>
      <c r="Q1155" s="110"/>
      <c r="R1155" s="110"/>
      <c r="S1155" s="110"/>
      <c r="T1155" s="110"/>
    </row>
    <row r="1156" spans="1:20">
      <c r="A1156" s="110" t="s">
        <v>44</v>
      </c>
      <c r="B1156" s="110" t="s">
        <v>68</v>
      </c>
      <c r="C1156" s="110">
        <v>12065</v>
      </c>
      <c r="D1156" s="110">
        <v>28.013000000000002</v>
      </c>
      <c r="E1156" s="110">
        <v>400</v>
      </c>
      <c r="F1156" s="110">
        <v>323.14999999999998</v>
      </c>
      <c r="G1156" s="110">
        <v>0.99990188264224211</v>
      </c>
      <c r="H1156" s="110">
        <v>1.4056091164505502</v>
      </c>
      <c r="I1156" s="110">
        <v>625.36959999999999</v>
      </c>
      <c r="J1156" s="110">
        <v>416.73129999999998</v>
      </c>
      <c r="K1156" s="110">
        <v>1.0035312920579043</v>
      </c>
      <c r="L1156" s="110">
        <v>1.401302062127221</v>
      </c>
      <c r="M1156" s="110"/>
      <c r="N1156" s="110"/>
      <c r="O1156" s="110"/>
      <c r="P1156" s="110">
        <v>3.5913560000000002</v>
      </c>
      <c r="Q1156" s="110"/>
      <c r="R1156" s="110"/>
      <c r="S1156" s="110"/>
      <c r="T1156" s="110"/>
    </row>
    <row r="1157" spans="1:20">
      <c r="A1157" s="110" t="s">
        <v>44</v>
      </c>
      <c r="B1157" s="110" t="s">
        <v>68</v>
      </c>
      <c r="C1157" s="110">
        <v>11430</v>
      </c>
      <c r="D1157" s="110">
        <v>28.013000000000002</v>
      </c>
      <c r="E1157" s="110">
        <v>400</v>
      </c>
      <c r="F1157" s="110">
        <v>323.14999999999998</v>
      </c>
      <c r="G1157" s="110">
        <v>0.99990188264224211</v>
      </c>
      <c r="H1157" s="110">
        <v>1.4056091164505502</v>
      </c>
      <c r="I1157" s="110">
        <v>936.18389999999999</v>
      </c>
      <c r="J1157" s="110">
        <v>451.44819999999999</v>
      </c>
      <c r="K1157" s="110">
        <v>1.0050398584998348</v>
      </c>
      <c r="L1157" s="110">
        <v>1.4000033085338266</v>
      </c>
      <c r="M1157" s="110"/>
      <c r="N1157" s="110"/>
      <c r="O1157" s="110"/>
      <c r="P1157" s="110">
        <v>1.701549</v>
      </c>
      <c r="Q1157" s="110"/>
      <c r="R1157" s="110"/>
      <c r="S1157" s="110"/>
      <c r="T1157" s="110"/>
    </row>
    <row r="1158" spans="1:20">
      <c r="A1158" s="110" t="s">
        <v>44</v>
      </c>
      <c r="B1158" s="110" t="s">
        <v>68</v>
      </c>
      <c r="C1158" s="110">
        <v>11430</v>
      </c>
      <c r="D1158" s="110">
        <v>28.013000000000002</v>
      </c>
      <c r="E1158" s="110">
        <v>400</v>
      </c>
      <c r="F1158" s="110">
        <v>323.14999999999998</v>
      </c>
      <c r="G1158" s="110">
        <v>0.99990188264224211</v>
      </c>
      <c r="H1158" s="110">
        <v>1.4056091164505502</v>
      </c>
      <c r="I1158" s="110">
        <v>935.33670000000006</v>
      </c>
      <c r="J1158" s="110">
        <v>450.98309999999998</v>
      </c>
      <c r="K1158" s="110">
        <v>1.0050278794851393</v>
      </c>
      <c r="L1158" s="110">
        <v>1.4000289237520496</v>
      </c>
      <c r="M1158" s="110"/>
      <c r="N1158" s="110"/>
      <c r="O1158" s="110"/>
      <c r="P1158" s="110">
        <v>1.7208270000000001</v>
      </c>
      <c r="Q1158" s="110"/>
      <c r="R1158" s="110"/>
      <c r="S1158" s="110"/>
      <c r="T1158" s="110"/>
    </row>
    <row r="1159" spans="1:20">
      <c r="A1159" s="110" t="s">
        <v>44</v>
      </c>
      <c r="B1159" s="110" t="s">
        <v>68</v>
      </c>
      <c r="C1159" s="110">
        <v>11430</v>
      </c>
      <c r="D1159" s="110">
        <v>28.013000000000002</v>
      </c>
      <c r="E1159" s="110">
        <v>400</v>
      </c>
      <c r="F1159" s="110">
        <v>323.14999999999998</v>
      </c>
      <c r="G1159" s="110">
        <v>0.99990188264224211</v>
      </c>
      <c r="H1159" s="110">
        <v>1.4056091164505502</v>
      </c>
      <c r="I1159" s="110">
        <v>933.50849999999991</v>
      </c>
      <c r="J1159" s="110">
        <v>450.05610000000001</v>
      </c>
      <c r="K1159" s="110">
        <v>1.0050003172967912</v>
      </c>
      <c r="L1159" s="110">
        <v>1.4000740058932031</v>
      </c>
      <c r="M1159" s="110"/>
      <c r="N1159" s="110"/>
      <c r="O1159" s="110"/>
      <c r="P1159" s="110">
        <v>1.7592840000000001</v>
      </c>
      <c r="Q1159" s="110"/>
      <c r="R1159" s="110"/>
      <c r="S1159" s="110"/>
      <c r="T1159" s="110"/>
    </row>
    <row r="1160" spans="1:20">
      <c r="A1160" s="110" t="s">
        <v>44</v>
      </c>
      <c r="B1160" s="110" t="s">
        <v>68</v>
      </c>
      <c r="C1160" s="110">
        <v>11430</v>
      </c>
      <c r="D1160" s="110">
        <v>28.013000000000002</v>
      </c>
      <c r="E1160" s="110">
        <v>400</v>
      </c>
      <c r="F1160" s="110">
        <v>323.14999999999998</v>
      </c>
      <c r="G1160" s="110">
        <v>0.99990188264224211</v>
      </c>
      <c r="H1160" s="110">
        <v>1.4056091164505502</v>
      </c>
      <c r="I1160" s="110">
        <v>925.48849999999993</v>
      </c>
      <c r="J1160" s="110">
        <v>446.75790000000001</v>
      </c>
      <c r="K1160" s="110">
        <v>1.0048442003064477</v>
      </c>
      <c r="L1160" s="110">
        <v>1.4002914175925743</v>
      </c>
      <c r="M1160" s="110"/>
      <c r="N1160" s="110"/>
      <c r="O1160" s="110"/>
      <c r="P1160" s="110">
        <v>1.895634</v>
      </c>
      <c r="Q1160" s="110"/>
      <c r="R1160" s="110"/>
      <c r="S1160" s="110"/>
      <c r="T1160" s="110"/>
    </row>
    <row r="1161" spans="1:20">
      <c r="A1161" s="110" t="s">
        <v>44</v>
      </c>
      <c r="B1161" s="110" t="s">
        <v>68</v>
      </c>
      <c r="C1161" s="110">
        <v>11430</v>
      </c>
      <c r="D1161" s="110">
        <v>28.013000000000002</v>
      </c>
      <c r="E1161" s="110">
        <v>400</v>
      </c>
      <c r="F1161" s="110">
        <v>323.14999999999998</v>
      </c>
      <c r="G1161" s="110">
        <v>0.99990188264224211</v>
      </c>
      <c r="H1161" s="110">
        <v>1.4056091164505502</v>
      </c>
      <c r="I1161" s="110">
        <v>909.24850000000004</v>
      </c>
      <c r="J1161" s="110">
        <v>441.85719999999998</v>
      </c>
      <c r="K1161" s="110">
        <v>1.0043203848674374</v>
      </c>
      <c r="L1161" s="110">
        <v>1.4007644160852426</v>
      </c>
      <c r="M1161" s="110"/>
      <c r="N1161" s="110"/>
      <c r="O1161" s="110"/>
      <c r="P1161" s="110">
        <v>2.0949749999999998</v>
      </c>
      <c r="Q1161" s="110"/>
      <c r="R1161" s="110"/>
      <c r="S1161" s="110"/>
      <c r="T1161" s="110"/>
    </row>
    <row r="1162" spans="1:20">
      <c r="A1162" s="110" t="s">
        <v>44</v>
      </c>
      <c r="B1162" s="110" t="s">
        <v>68</v>
      </c>
      <c r="C1162" s="110">
        <v>11430</v>
      </c>
      <c r="D1162" s="110">
        <v>28.013000000000002</v>
      </c>
      <c r="E1162" s="110">
        <v>400</v>
      </c>
      <c r="F1162" s="110">
        <v>323.14999999999998</v>
      </c>
      <c r="G1162" s="110">
        <v>0.99990188264224211</v>
      </c>
      <c r="H1162" s="110">
        <v>1.4056091164505502</v>
      </c>
      <c r="I1162" s="110">
        <v>884.08709999999996</v>
      </c>
      <c r="J1162" s="110">
        <v>436.07389999999998</v>
      </c>
      <c r="K1162" s="110">
        <v>1.0028671498867556</v>
      </c>
      <c r="L1162" s="110">
        <v>1.4011279820327569</v>
      </c>
      <c r="M1162" s="110"/>
      <c r="N1162" s="110"/>
      <c r="O1162" s="110"/>
      <c r="P1162" s="110">
        <v>2.3399730000000001</v>
      </c>
      <c r="Q1162" s="110"/>
      <c r="R1162" s="110"/>
      <c r="S1162" s="110"/>
      <c r="T1162" s="110"/>
    </row>
    <row r="1163" spans="1:20">
      <c r="A1163" s="110" t="s">
        <v>44</v>
      </c>
      <c r="B1163" s="110" t="s">
        <v>68</v>
      </c>
      <c r="C1163" s="110">
        <v>11430</v>
      </c>
      <c r="D1163" s="110">
        <v>28.013000000000002</v>
      </c>
      <c r="E1163" s="110">
        <v>400</v>
      </c>
      <c r="F1163" s="110">
        <v>323.14999999999998</v>
      </c>
      <c r="G1163" s="110">
        <v>0.99990188264224211</v>
      </c>
      <c r="H1163" s="110">
        <v>1.4056091164505502</v>
      </c>
      <c r="I1163" s="110">
        <v>857.4769</v>
      </c>
      <c r="J1163" s="110">
        <v>431.42110000000002</v>
      </c>
      <c r="K1163" s="110">
        <v>1.0017329159251831</v>
      </c>
      <c r="L1163" s="110">
        <v>1.4022580027597007</v>
      </c>
      <c r="M1163" s="110"/>
      <c r="N1163" s="110"/>
      <c r="O1163" s="110"/>
      <c r="P1163" s="110">
        <v>2.5344600000000002</v>
      </c>
      <c r="Q1163" s="110"/>
      <c r="R1163" s="110"/>
      <c r="S1163" s="110"/>
      <c r="T1163" s="110"/>
    </row>
    <row r="1164" spans="1:20">
      <c r="A1164" s="110" t="s">
        <v>44</v>
      </c>
      <c r="B1164" s="110" t="s">
        <v>68</v>
      </c>
      <c r="C1164" s="110">
        <v>11430</v>
      </c>
      <c r="D1164" s="110">
        <v>28.013000000000002</v>
      </c>
      <c r="E1164" s="110">
        <v>400</v>
      </c>
      <c r="F1164" s="110">
        <v>323.14999999999998</v>
      </c>
      <c r="G1164" s="110">
        <v>0.99990188264224211</v>
      </c>
      <c r="H1164" s="110">
        <v>1.4056091164505502</v>
      </c>
      <c r="I1164" s="110">
        <v>843.09780000000001</v>
      </c>
      <c r="J1164" s="110">
        <v>429.32119999999998</v>
      </c>
      <c r="K1164" s="110">
        <v>1.0018509105437996</v>
      </c>
      <c r="L1164" s="110">
        <v>1.402366895446256</v>
      </c>
      <c r="M1164" s="110"/>
      <c r="N1164" s="110"/>
      <c r="O1164" s="110"/>
      <c r="P1164" s="110">
        <v>2.6207449999999999</v>
      </c>
      <c r="Q1164" s="110"/>
      <c r="R1164" s="110"/>
      <c r="S1164" s="110"/>
      <c r="T1164" s="110"/>
    </row>
    <row r="1165" spans="1:20">
      <c r="A1165" s="110" t="s">
        <v>44</v>
      </c>
      <c r="B1165" s="110" t="s">
        <v>68</v>
      </c>
      <c r="C1165" s="110">
        <v>11430</v>
      </c>
      <c r="D1165" s="110">
        <v>28.013000000000002</v>
      </c>
      <c r="E1165" s="110">
        <v>400</v>
      </c>
      <c r="F1165" s="110">
        <v>323.14999999999998</v>
      </c>
      <c r="G1165" s="110">
        <v>0.99990188264224211</v>
      </c>
      <c r="H1165" s="110">
        <v>1.4056091164505502</v>
      </c>
      <c r="I1165" s="110">
        <v>834.08219999999994</v>
      </c>
      <c r="J1165" s="110">
        <v>428.09449999999998</v>
      </c>
      <c r="K1165" s="110">
        <v>1.0020775162227546</v>
      </c>
      <c r="L1165" s="110">
        <v>1.4023884849898354</v>
      </c>
      <c r="M1165" s="110"/>
      <c r="N1165" s="110"/>
      <c r="O1165" s="110"/>
      <c r="P1165" s="110">
        <v>2.6705830000000002</v>
      </c>
      <c r="Q1165" s="110"/>
      <c r="R1165" s="110"/>
      <c r="S1165" s="110"/>
      <c r="T1165" s="110"/>
    </row>
    <row r="1166" spans="1:20">
      <c r="A1166" s="110" t="s">
        <v>44</v>
      </c>
      <c r="B1166" s="110" t="s">
        <v>68</v>
      </c>
      <c r="C1166" s="110">
        <v>11430</v>
      </c>
      <c r="D1166" s="110">
        <v>28.013000000000002</v>
      </c>
      <c r="E1166" s="110">
        <v>400</v>
      </c>
      <c r="F1166" s="110">
        <v>323.14999999999998</v>
      </c>
      <c r="G1166" s="110">
        <v>0.99990188264224211</v>
      </c>
      <c r="H1166" s="110">
        <v>1.4056091164505502</v>
      </c>
      <c r="I1166" s="110">
        <v>812.11410000000001</v>
      </c>
      <c r="J1166" s="110">
        <v>425.29989999999998</v>
      </c>
      <c r="K1166" s="110">
        <v>1.0028673332655449</v>
      </c>
      <c r="L1166" s="110">
        <v>1.4023332538052555</v>
      </c>
      <c r="M1166" s="110"/>
      <c r="N1166" s="110"/>
      <c r="O1166" s="110"/>
      <c r="P1166" s="110">
        <v>2.7820420000000001</v>
      </c>
      <c r="Q1166" s="110"/>
      <c r="R1166" s="110"/>
      <c r="S1166" s="110"/>
      <c r="T1166" s="110"/>
    </row>
    <row r="1167" spans="1:20">
      <c r="A1167" s="110" t="s">
        <v>44</v>
      </c>
      <c r="B1167" s="110" t="s">
        <v>68</v>
      </c>
      <c r="C1167" s="110">
        <v>11430</v>
      </c>
      <c r="D1167" s="110">
        <v>28.013000000000002</v>
      </c>
      <c r="E1167" s="110">
        <v>400</v>
      </c>
      <c r="F1167" s="110">
        <v>323.14999999999998</v>
      </c>
      <c r="G1167" s="110">
        <v>0.99990188264224211</v>
      </c>
      <c r="H1167" s="110">
        <v>1.4056091164505502</v>
      </c>
      <c r="I1167" s="110">
        <v>793.38149999999996</v>
      </c>
      <c r="J1167" s="110">
        <v>423.1782</v>
      </c>
      <c r="K1167" s="110">
        <v>1.0035554685940815</v>
      </c>
      <c r="L1167" s="110">
        <v>1.4021977404346555</v>
      </c>
      <c r="M1167" s="110"/>
      <c r="N1167" s="110"/>
      <c r="O1167" s="110"/>
      <c r="P1167" s="110">
        <v>2.8636279999999998</v>
      </c>
      <c r="Q1167" s="110"/>
      <c r="R1167" s="110"/>
      <c r="S1167" s="110"/>
      <c r="T1167" s="110"/>
    </row>
    <row r="1168" spans="1:20">
      <c r="A1168" s="110" t="s">
        <v>44</v>
      </c>
      <c r="B1168" s="110" t="s">
        <v>68</v>
      </c>
      <c r="C1168" s="110">
        <v>11430</v>
      </c>
      <c r="D1168" s="110">
        <v>28.013000000000002</v>
      </c>
      <c r="E1168" s="110">
        <v>400</v>
      </c>
      <c r="F1168" s="110">
        <v>323.14999999999998</v>
      </c>
      <c r="G1168" s="110">
        <v>0.99990188264224211</v>
      </c>
      <c r="H1168" s="110">
        <v>1.4056091164505502</v>
      </c>
      <c r="I1168" s="110">
        <v>758.178</v>
      </c>
      <c r="J1168" s="110">
        <v>419.67419999999998</v>
      </c>
      <c r="K1168" s="110">
        <v>1.0041348251069553</v>
      </c>
      <c r="L1168" s="110">
        <v>1.4018619708743474</v>
      </c>
      <c r="M1168" s="110"/>
      <c r="N1168" s="110"/>
      <c r="O1168" s="110"/>
      <c r="P1168" s="110">
        <v>2.990917</v>
      </c>
      <c r="Q1168" s="110"/>
      <c r="R1168" s="110"/>
      <c r="S1168" s="110"/>
      <c r="T1168" s="110"/>
    </row>
    <row r="1169" spans="1:20">
      <c r="A1169" s="110" t="s">
        <v>44</v>
      </c>
      <c r="B1169" s="110" t="s">
        <v>68</v>
      </c>
      <c r="C1169" s="110">
        <v>11430</v>
      </c>
      <c r="D1169" s="110">
        <v>28.013000000000002</v>
      </c>
      <c r="E1169" s="110">
        <v>400</v>
      </c>
      <c r="F1169" s="110">
        <v>323.14999999999998</v>
      </c>
      <c r="G1169" s="110">
        <v>0.99990188264224211</v>
      </c>
      <c r="H1169" s="110">
        <v>1.4056091164505502</v>
      </c>
      <c r="I1169" s="110">
        <v>739.4348</v>
      </c>
      <c r="J1169" s="110">
        <v>418.0487</v>
      </c>
      <c r="K1169" s="110">
        <v>1.0037658920542789</v>
      </c>
      <c r="L1169" s="110">
        <v>1.4017849975467149</v>
      </c>
      <c r="M1169" s="110"/>
      <c r="N1169" s="110"/>
      <c r="O1169" s="110"/>
      <c r="P1169" s="110">
        <v>3.0461680000000002</v>
      </c>
      <c r="Q1169" s="110"/>
      <c r="R1169" s="110"/>
      <c r="S1169" s="110"/>
      <c r="T1169" s="110"/>
    </row>
    <row r="1170" spans="1:20">
      <c r="A1170" s="110" t="s">
        <v>44</v>
      </c>
      <c r="B1170" s="110" t="s">
        <v>68</v>
      </c>
      <c r="C1170" s="110">
        <v>11430</v>
      </c>
      <c r="D1170" s="110">
        <v>28.013000000000002</v>
      </c>
      <c r="E1170" s="110">
        <v>400</v>
      </c>
      <c r="F1170" s="110">
        <v>323.14999999999998</v>
      </c>
      <c r="G1170" s="110">
        <v>0.99990188264224211</v>
      </c>
      <c r="H1170" s="110">
        <v>1.4056091164505502</v>
      </c>
      <c r="I1170" s="110">
        <v>705.36990000000003</v>
      </c>
      <c r="J1170" s="110">
        <v>415.35359999999997</v>
      </c>
      <c r="K1170" s="110">
        <v>1.0014961157683608</v>
      </c>
      <c r="L1170" s="110">
        <v>1.4025550610473734</v>
      </c>
      <c r="M1170" s="110"/>
      <c r="N1170" s="110"/>
      <c r="O1170" s="110"/>
      <c r="P1170" s="110">
        <v>3.1317189999999999</v>
      </c>
      <c r="Q1170" s="110"/>
      <c r="R1170" s="110"/>
      <c r="S1170" s="110"/>
      <c r="T1170" s="110"/>
    </row>
    <row r="1171" spans="1:20">
      <c r="A1171" s="110" t="s">
        <v>44</v>
      </c>
      <c r="B1171" s="110" t="s">
        <v>68</v>
      </c>
      <c r="C1171" s="110">
        <v>11430</v>
      </c>
      <c r="D1171" s="110">
        <v>28.013000000000002</v>
      </c>
      <c r="E1171" s="110">
        <v>400</v>
      </c>
      <c r="F1171" s="110">
        <v>323.14999999999998</v>
      </c>
      <c r="G1171" s="110">
        <v>0.99990188264224211</v>
      </c>
      <c r="H1171" s="110">
        <v>1.4056091164505502</v>
      </c>
      <c r="I1171" s="110">
        <v>687.64209999999991</v>
      </c>
      <c r="J1171" s="110">
        <v>414.0249</v>
      </c>
      <c r="K1171" s="110">
        <v>1.0010422186366355</v>
      </c>
      <c r="L1171" s="110">
        <v>1.4026039046078138</v>
      </c>
      <c r="M1171" s="110"/>
      <c r="N1171" s="110"/>
      <c r="O1171" s="110"/>
      <c r="P1171" s="110">
        <v>3.1715990000000001</v>
      </c>
      <c r="Q1171" s="110"/>
      <c r="R1171" s="110"/>
      <c r="S1171" s="110"/>
      <c r="T1171" s="110"/>
    </row>
    <row r="1172" spans="1:20">
      <c r="A1172" s="110" t="s">
        <v>44</v>
      </c>
      <c r="B1172" s="110" t="s">
        <v>68</v>
      </c>
      <c r="C1172" s="110">
        <v>11430</v>
      </c>
      <c r="D1172" s="110">
        <v>28.013000000000002</v>
      </c>
      <c r="E1172" s="110">
        <v>400</v>
      </c>
      <c r="F1172" s="110">
        <v>323.14999999999998</v>
      </c>
      <c r="G1172" s="110">
        <v>0.99990188264224211</v>
      </c>
      <c r="H1172" s="110">
        <v>1.4056091164505502</v>
      </c>
      <c r="I1172" s="110">
        <v>650.26769999999999</v>
      </c>
      <c r="J1172" s="110">
        <v>411.459</v>
      </c>
      <c r="K1172" s="110">
        <v>1.0024742578078283</v>
      </c>
      <c r="L1172" s="110">
        <v>1.4022955610095522</v>
      </c>
      <c r="M1172" s="110"/>
      <c r="N1172" s="110"/>
      <c r="O1172" s="110"/>
      <c r="P1172" s="110">
        <v>3.243042</v>
      </c>
      <c r="Q1172" s="110"/>
      <c r="R1172" s="110"/>
      <c r="S1172" s="110"/>
      <c r="T1172" s="110"/>
    </row>
    <row r="1173" spans="1:20">
      <c r="A1173" s="110" t="s">
        <v>44</v>
      </c>
      <c r="B1173" s="110" t="s">
        <v>68</v>
      </c>
      <c r="C1173" s="110">
        <v>11430</v>
      </c>
      <c r="D1173" s="110">
        <v>28.013000000000002</v>
      </c>
      <c r="E1173" s="110">
        <v>400</v>
      </c>
      <c r="F1173" s="110">
        <v>323.14999999999998</v>
      </c>
      <c r="G1173" s="110">
        <v>0.99990188264224211</v>
      </c>
      <c r="H1173" s="110">
        <v>1.4056091164505502</v>
      </c>
      <c r="I1173" s="110">
        <v>633.16390000000001</v>
      </c>
      <c r="J1173" s="110">
        <v>410.32900000000001</v>
      </c>
      <c r="K1173" s="110">
        <v>1.0032210897071714</v>
      </c>
      <c r="L1173" s="110">
        <v>1.4020737088836643</v>
      </c>
      <c r="M1173" s="110"/>
      <c r="N1173" s="110"/>
      <c r="O1173" s="110"/>
      <c r="P1173" s="110">
        <v>3.2721580000000001</v>
      </c>
      <c r="Q1173" s="110"/>
      <c r="R1173" s="110"/>
      <c r="S1173" s="110"/>
      <c r="T1173" s="110"/>
    </row>
    <row r="1174" spans="1:20">
      <c r="A1174" s="110" t="s">
        <v>44</v>
      </c>
      <c r="B1174" s="110" t="s">
        <v>68</v>
      </c>
      <c r="C1174" s="110">
        <v>11430</v>
      </c>
      <c r="D1174" s="110">
        <v>28.013000000000002</v>
      </c>
      <c r="E1174" s="110">
        <v>400</v>
      </c>
      <c r="F1174" s="110">
        <v>323.14999999999998</v>
      </c>
      <c r="G1174" s="110">
        <v>0.99990188264224211</v>
      </c>
      <c r="H1174" s="110">
        <v>1.4056091164505502</v>
      </c>
      <c r="I1174" s="110">
        <v>616.75540000000001</v>
      </c>
      <c r="J1174" s="110">
        <v>409.25119999999998</v>
      </c>
      <c r="K1174" s="110">
        <v>1.003588403322963</v>
      </c>
      <c r="L1174" s="110">
        <v>1.4018667879890847</v>
      </c>
      <c r="M1174" s="110"/>
      <c r="N1174" s="110"/>
      <c r="O1174" s="110"/>
      <c r="P1174" s="110">
        <v>3.2989540000000002</v>
      </c>
      <c r="Q1174" s="110"/>
      <c r="R1174" s="110"/>
      <c r="S1174" s="110"/>
      <c r="T1174" s="110"/>
    </row>
    <row r="1175" spans="1:20">
      <c r="A1175" s="110" t="s">
        <v>44</v>
      </c>
      <c r="B1175" s="110" t="s">
        <v>68</v>
      </c>
      <c r="C1175" s="110">
        <v>11430</v>
      </c>
      <c r="D1175" s="110">
        <v>28.013000000000002</v>
      </c>
      <c r="E1175" s="110">
        <v>400</v>
      </c>
      <c r="F1175" s="110">
        <v>323.14999999999998</v>
      </c>
      <c r="G1175" s="110">
        <v>0.99990188264224211</v>
      </c>
      <c r="H1175" s="110">
        <v>1.4056091164505502</v>
      </c>
      <c r="I1175" s="110">
        <v>603.27289999999994</v>
      </c>
      <c r="J1175" s="110">
        <v>408.37670000000003</v>
      </c>
      <c r="K1175" s="110">
        <v>1.0034887047122634</v>
      </c>
      <c r="L1175" s="110">
        <v>1.40172313345219</v>
      </c>
      <c r="M1175" s="110"/>
      <c r="N1175" s="110"/>
      <c r="O1175" s="110"/>
      <c r="P1175" s="110">
        <v>3.3200690000000002</v>
      </c>
      <c r="Q1175" s="110"/>
      <c r="R1175" s="110"/>
      <c r="S1175" s="110"/>
      <c r="T1175" s="110"/>
    </row>
    <row r="1176" spans="1:20">
      <c r="A1176" s="110" t="s">
        <v>44</v>
      </c>
      <c r="B1176" s="110" t="s">
        <v>68</v>
      </c>
      <c r="C1176" s="110">
        <v>11430</v>
      </c>
      <c r="D1176" s="110">
        <v>28.013000000000002</v>
      </c>
      <c r="E1176" s="110">
        <v>400</v>
      </c>
      <c r="F1176" s="110">
        <v>323.14999999999998</v>
      </c>
      <c r="G1176" s="110">
        <v>0.99990188264224211</v>
      </c>
      <c r="H1176" s="110">
        <v>1.4056091164505502</v>
      </c>
      <c r="I1176" s="110">
        <v>602.00919999999996</v>
      </c>
      <c r="J1176" s="110">
        <v>408.29500000000002</v>
      </c>
      <c r="K1176" s="110">
        <v>1.0034569463443372</v>
      </c>
      <c r="L1176" s="110">
        <v>1.4017115821844235</v>
      </c>
      <c r="M1176" s="110"/>
      <c r="N1176" s="110"/>
      <c r="O1176" s="110"/>
      <c r="P1176" s="110">
        <v>3.3220070000000002</v>
      </c>
      <c r="Q1176" s="110"/>
      <c r="R1176" s="110"/>
      <c r="S1176" s="110"/>
      <c r="T1176" s="110"/>
    </row>
    <row r="1177" spans="1:20">
      <c r="A1177" s="110" t="s">
        <v>44</v>
      </c>
      <c r="B1177" s="110" t="s">
        <v>68</v>
      </c>
      <c r="C1177" s="110">
        <v>10795</v>
      </c>
      <c r="D1177" s="110">
        <v>28.013000000000002</v>
      </c>
      <c r="E1177" s="110">
        <v>400</v>
      </c>
      <c r="F1177" s="110">
        <v>323.14999999999998</v>
      </c>
      <c r="G1177" s="110">
        <v>0.99990188264224211</v>
      </c>
      <c r="H1177" s="110">
        <v>1.4056091164505502</v>
      </c>
      <c r="I1177" s="110">
        <v>858.42840000000001</v>
      </c>
      <c r="J1177" s="110">
        <v>438.84460000000001</v>
      </c>
      <c r="K1177" s="110">
        <v>1.0018231386005962</v>
      </c>
      <c r="L1177" s="110">
        <v>1.4016883992791067</v>
      </c>
      <c r="M1177" s="110"/>
      <c r="N1177" s="110"/>
      <c r="O1177" s="110"/>
      <c r="P1177" s="110">
        <v>1.5842210000000001</v>
      </c>
      <c r="Q1177" s="110"/>
      <c r="R1177" s="110"/>
      <c r="S1177" s="110"/>
      <c r="T1177" s="110"/>
    </row>
    <row r="1178" spans="1:20">
      <c r="A1178" s="110" t="s">
        <v>44</v>
      </c>
      <c r="B1178" s="110" t="s">
        <v>68</v>
      </c>
      <c r="C1178" s="110">
        <v>10795</v>
      </c>
      <c r="D1178" s="110">
        <v>28.013000000000002</v>
      </c>
      <c r="E1178" s="110">
        <v>400</v>
      </c>
      <c r="F1178" s="110">
        <v>323.14999999999998</v>
      </c>
      <c r="G1178" s="110">
        <v>0.99990188264224211</v>
      </c>
      <c r="H1178" s="110">
        <v>1.4056091164505502</v>
      </c>
      <c r="I1178" s="110">
        <v>857.2912</v>
      </c>
      <c r="J1178" s="110">
        <v>438.22809999999998</v>
      </c>
      <c r="K1178" s="110">
        <v>1.0018113009619258</v>
      </c>
      <c r="L1178" s="110">
        <v>1.4017246783424147</v>
      </c>
      <c r="M1178" s="110"/>
      <c r="N1178" s="110"/>
      <c r="O1178" s="110"/>
      <c r="P1178" s="110">
        <v>1.609035</v>
      </c>
      <c r="Q1178" s="110"/>
      <c r="R1178" s="110"/>
      <c r="S1178" s="110"/>
      <c r="T1178" s="110"/>
    </row>
    <row r="1179" spans="1:20">
      <c r="A1179" s="110" t="s">
        <v>44</v>
      </c>
      <c r="B1179" s="110" t="s">
        <v>68</v>
      </c>
      <c r="C1179" s="110">
        <v>10795</v>
      </c>
      <c r="D1179" s="110">
        <v>28.013000000000002</v>
      </c>
      <c r="E1179" s="110">
        <v>400</v>
      </c>
      <c r="F1179" s="110">
        <v>323.14999999999998</v>
      </c>
      <c r="G1179" s="110">
        <v>0.99990188264224211</v>
      </c>
      <c r="H1179" s="110">
        <v>1.4056091164505502</v>
      </c>
      <c r="I1179" s="110">
        <v>856.15249999999992</v>
      </c>
      <c r="J1179" s="110">
        <v>437.6463</v>
      </c>
      <c r="K1179" s="110">
        <v>1.0018026555317869</v>
      </c>
      <c r="L1179" s="110">
        <v>1.4017554844811686</v>
      </c>
      <c r="M1179" s="110"/>
      <c r="N1179" s="110"/>
      <c r="O1179" s="110"/>
      <c r="P1179" s="110">
        <v>1.6324970000000001</v>
      </c>
      <c r="Q1179" s="110"/>
      <c r="R1179" s="110"/>
      <c r="S1179" s="110"/>
      <c r="T1179" s="110"/>
    </row>
    <row r="1180" spans="1:20">
      <c r="A1180" s="110" t="s">
        <v>44</v>
      </c>
      <c r="B1180" s="110" t="s">
        <v>68</v>
      </c>
      <c r="C1180" s="110">
        <v>10795</v>
      </c>
      <c r="D1180" s="110">
        <v>28.013000000000002</v>
      </c>
      <c r="E1180" s="110">
        <v>400</v>
      </c>
      <c r="F1180" s="110">
        <v>323.14999999999998</v>
      </c>
      <c r="G1180" s="110">
        <v>0.99990188264224211</v>
      </c>
      <c r="H1180" s="110">
        <v>1.4056091164505502</v>
      </c>
      <c r="I1180" s="110">
        <v>849.50220000000002</v>
      </c>
      <c r="J1180" s="110">
        <v>434.74529999999999</v>
      </c>
      <c r="K1180" s="110">
        <v>1.0018090201573457</v>
      </c>
      <c r="L1180" s="110">
        <v>1.401857366072663</v>
      </c>
      <c r="M1180" s="110"/>
      <c r="N1180" s="110"/>
      <c r="O1180" s="110"/>
      <c r="P1180" s="110">
        <v>1.7488889999999999</v>
      </c>
      <c r="Q1180" s="110"/>
      <c r="R1180" s="110"/>
      <c r="S1180" s="110"/>
      <c r="T1180" s="110"/>
    </row>
    <row r="1181" spans="1:20">
      <c r="A1181" s="110" t="s">
        <v>44</v>
      </c>
      <c r="B1181" s="110" t="s">
        <v>68</v>
      </c>
      <c r="C1181" s="110">
        <v>10795</v>
      </c>
      <c r="D1181" s="110">
        <v>28.013000000000002</v>
      </c>
      <c r="E1181" s="110">
        <v>400</v>
      </c>
      <c r="F1181" s="110">
        <v>323.14999999999998</v>
      </c>
      <c r="G1181" s="110">
        <v>0.99990188264224211</v>
      </c>
      <c r="H1181" s="110">
        <v>1.4056091164505502</v>
      </c>
      <c r="I1181" s="110">
        <v>836.53560000000004</v>
      </c>
      <c r="J1181" s="110">
        <v>430.48989999999998</v>
      </c>
      <c r="K1181" s="110">
        <v>1.0020332622613923</v>
      </c>
      <c r="L1181" s="110">
        <v>1.4021471129164083</v>
      </c>
      <c r="M1181" s="110"/>
      <c r="N1181" s="110"/>
      <c r="O1181" s="110"/>
      <c r="P1181" s="110">
        <v>1.9219470000000001</v>
      </c>
      <c r="Q1181" s="110"/>
      <c r="R1181" s="110"/>
      <c r="S1181" s="110"/>
      <c r="T1181" s="110"/>
    </row>
    <row r="1182" spans="1:20">
      <c r="A1182" s="110" t="s">
        <v>44</v>
      </c>
      <c r="B1182" s="110" t="s">
        <v>68</v>
      </c>
      <c r="C1182" s="110">
        <v>10795</v>
      </c>
      <c r="D1182" s="110">
        <v>28.013000000000002</v>
      </c>
      <c r="E1182" s="110">
        <v>400</v>
      </c>
      <c r="F1182" s="110">
        <v>323.14999999999998</v>
      </c>
      <c r="G1182" s="110">
        <v>0.99990188264224211</v>
      </c>
      <c r="H1182" s="110">
        <v>1.4056091164505502</v>
      </c>
      <c r="I1182" s="110">
        <v>815.58089999999993</v>
      </c>
      <c r="J1182" s="110">
        <v>425.35930000000002</v>
      </c>
      <c r="K1182" s="110">
        <v>1.0027282968418916</v>
      </c>
      <c r="L1182" s="110">
        <v>1.4023818495388298</v>
      </c>
      <c r="M1182" s="110"/>
      <c r="N1182" s="110"/>
      <c r="O1182" s="110"/>
      <c r="P1182" s="110">
        <v>2.136606</v>
      </c>
      <c r="Q1182" s="110"/>
      <c r="R1182" s="110"/>
      <c r="S1182" s="110"/>
      <c r="T1182" s="110"/>
    </row>
    <row r="1183" spans="1:20">
      <c r="A1183" s="110" t="s">
        <v>44</v>
      </c>
      <c r="B1183" s="110" t="s">
        <v>68</v>
      </c>
      <c r="C1183" s="110">
        <v>10795</v>
      </c>
      <c r="D1183" s="110">
        <v>28.013000000000002</v>
      </c>
      <c r="E1183" s="110">
        <v>400</v>
      </c>
      <c r="F1183" s="110">
        <v>323.14999999999998</v>
      </c>
      <c r="G1183" s="110">
        <v>0.99990188264224211</v>
      </c>
      <c r="H1183" s="110">
        <v>1.4056091164505502</v>
      </c>
      <c r="I1183" s="110">
        <v>794.42660000000001</v>
      </c>
      <c r="J1183" s="110">
        <v>421.28500000000003</v>
      </c>
      <c r="K1183" s="110">
        <v>1.0034960556576407</v>
      </c>
      <c r="L1183" s="110">
        <v>1.4023318547842336</v>
      </c>
      <c r="M1183" s="110"/>
      <c r="N1183" s="110"/>
      <c r="O1183" s="110"/>
      <c r="P1183" s="110">
        <v>2.3077190000000001</v>
      </c>
      <c r="Q1183" s="110"/>
      <c r="R1183" s="110"/>
      <c r="S1183" s="110"/>
      <c r="T1183" s="110"/>
    </row>
    <row r="1184" spans="1:20">
      <c r="A1184" s="110" t="s">
        <v>44</v>
      </c>
      <c r="B1184" s="110" t="s">
        <v>68</v>
      </c>
      <c r="C1184" s="110">
        <v>10795</v>
      </c>
      <c r="D1184" s="110">
        <v>28.013000000000002</v>
      </c>
      <c r="E1184" s="110">
        <v>400</v>
      </c>
      <c r="F1184" s="110">
        <v>323.14999999999998</v>
      </c>
      <c r="G1184" s="110">
        <v>0.99990188264224211</v>
      </c>
      <c r="H1184" s="110">
        <v>1.4056091164505502</v>
      </c>
      <c r="I1184" s="110">
        <v>771.73</v>
      </c>
      <c r="J1184" s="110">
        <v>417.75069999999999</v>
      </c>
      <c r="K1184" s="110">
        <v>1.004033077953677</v>
      </c>
      <c r="L1184" s="110">
        <v>1.4022455257918103</v>
      </c>
      <c r="M1184" s="110"/>
      <c r="N1184" s="110"/>
      <c r="O1184" s="110"/>
      <c r="P1184" s="110">
        <v>2.4543349999999999</v>
      </c>
      <c r="Q1184" s="110"/>
      <c r="R1184" s="110"/>
      <c r="S1184" s="110"/>
      <c r="T1184" s="110"/>
    </row>
    <row r="1185" spans="1:20">
      <c r="A1185" s="110" t="s">
        <v>44</v>
      </c>
      <c r="B1185" s="110" t="s">
        <v>68</v>
      </c>
      <c r="C1185" s="110">
        <v>10795</v>
      </c>
      <c r="D1185" s="110">
        <v>28.013000000000002</v>
      </c>
      <c r="E1185" s="110">
        <v>400</v>
      </c>
      <c r="F1185" s="110">
        <v>323.14999999999998</v>
      </c>
      <c r="G1185" s="110">
        <v>0.99990188264224211</v>
      </c>
      <c r="H1185" s="110">
        <v>1.4056091164505502</v>
      </c>
      <c r="I1185" s="110">
        <v>746.28649999999993</v>
      </c>
      <c r="J1185" s="110">
        <v>414.5052</v>
      </c>
      <c r="K1185" s="110">
        <v>1.0039135483048867</v>
      </c>
      <c r="L1185" s="110">
        <v>1.402337831142932</v>
      </c>
      <c r="M1185" s="110"/>
      <c r="N1185" s="110"/>
      <c r="O1185" s="110"/>
      <c r="P1185" s="110">
        <v>2.5848080000000002</v>
      </c>
      <c r="Q1185" s="110"/>
      <c r="R1185" s="110"/>
      <c r="S1185" s="110"/>
      <c r="T1185" s="110"/>
    </row>
    <row r="1186" spans="1:20">
      <c r="A1186" s="110" t="s">
        <v>44</v>
      </c>
      <c r="B1186" s="110" t="s">
        <v>68</v>
      </c>
      <c r="C1186" s="110">
        <v>10795</v>
      </c>
      <c r="D1186" s="110">
        <v>28.013000000000002</v>
      </c>
      <c r="E1186" s="110">
        <v>400</v>
      </c>
      <c r="F1186" s="110">
        <v>323.14999999999998</v>
      </c>
      <c r="G1186" s="110">
        <v>0.99990188264224211</v>
      </c>
      <c r="H1186" s="110">
        <v>1.4056091164505502</v>
      </c>
      <c r="I1186" s="110">
        <v>733.85130000000004</v>
      </c>
      <c r="J1186" s="110">
        <v>413.0924</v>
      </c>
      <c r="K1186" s="110">
        <v>1.0034781908749904</v>
      </c>
      <c r="L1186" s="110">
        <v>1.4023752140528256</v>
      </c>
      <c r="M1186" s="110"/>
      <c r="N1186" s="110"/>
      <c r="O1186" s="110"/>
      <c r="P1186" s="110">
        <v>2.6400060000000001</v>
      </c>
      <c r="Q1186" s="110"/>
      <c r="R1186" s="110"/>
      <c r="S1186" s="110"/>
      <c r="T1186" s="110"/>
    </row>
    <row r="1187" spans="1:20">
      <c r="A1187" s="110" t="s">
        <v>44</v>
      </c>
      <c r="B1187" s="110" t="s">
        <v>68</v>
      </c>
      <c r="C1187" s="110">
        <v>10795</v>
      </c>
      <c r="D1187" s="110">
        <v>28.013000000000002</v>
      </c>
      <c r="E1187" s="110">
        <v>400</v>
      </c>
      <c r="F1187" s="110">
        <v>323.14999999999998</v>
      </c>
      <c r="G1187" s="110">
        <v>0.99990188264224211</v>
      </c>
      <c r="H1187" s="110">
        <v>1.4056091164505502</v>
      </c>
      <c r="I1187" s="110">
        <v>731.20939999999996</v>
      </c>
      <c r="J1187" s="110">
        <v>412.80259999999998</v>
      </c>
      <c r="K1187" s="110">
        <v>1.0033489037862577</v>
      </c>
      <c r="L1187" s="110">
        <v>1.4023844399497729</v>
      </c>
      <c r="M1187" s="110"/>
      <c r="N1187" s="110"/>
      <c r="O1187" s="110"/>
      <c r="P1187" s="110">
        <v>2.6511640000000001</v>
      </c>
      <c r="Q1187" s="110"/>
      <c r="R1187" s="110"/>
      <c r="S1187" s="110"/>
      <c r="T1187" s="110"/>
    </row>
    <row r="1188" spans="1:20">
      <c r="A1188" s="110" t="s">
        <v>44</v>
      </c>
      <c r="B1188" s="110" t="s">
        <v>68</v>
      </c>
      <c r="C1188" s="110">
        <v>10795</v>
      </c>
      <c r="D1188" s="110">
        <v>28.013000000000002</v>
      </c>
      <c r="E1188" s="110">
        <v>400</v>
      </c>
      <c r="F1188" s="110">
        <v>323.14999999999998</v>
      </c>
      <c r="G1188" s="110">
        <v>0.99990188264224211</v>
      </c>
      <c r="H1188" s="110">
        <v>1.4056091164505502</v>
      </c>
      <c r="I1188" s="110">
        <v>705.70669999999996</v>
      </c>
      <c r="J1188" s="110">
        <v>410.19920000000002</v>
      </c>
      <c r="K1188" s="110">
        <v>1.0014515727327202</v>
      </c>
      <c r="L1188" s="110">
        <v>1.402994453261037</v>
      </c>
      <c r="M1188" s="110"/>
      <c r="N1188" s="110"/>
      <c r="O1188" s="110"/>
      <c r="P1188" s="110">
        <v>2.748958</v>
      </c>
      <c r="Q1188" s="110"/>
      <c r="R1188" s="110"/>
      <c r="S1188" s="110"/>
      <c r="T1188" s="110"/>
    </row>
    <row r="1189" spans="1:20">
      <c r="A1189" s="110" t="s">
        <v>44</v>
      </c>
      <c r="B1189" s="110" t="s">
        <v>68</v>
      </c>
      <c r="C1189" s="110">
        <v>10795</v>
      </c>
      <c r="D1189" s="110">
        <v>28.013000000000002</v>
      </c>
      <c r="E1189" s="110">
        <v>400</v>
      </c>
      <c r="F1189" s="110">
        <v>323.14999999999998</v>
      </c>
      <c r="G1189" s="110">
        <v>0.99990188264224211</v>
      </c>
      <c r="H1189" s="110">
        <v>1.4056091164505502</v>
      </c>
      <c r="I1189" s="110">
        <v>690.44600000000003</v>
      </c>
      <c r="J1189" s="110">
        <v>408.78629999999998</v>
      </c>
      <c r="K1189" s="110">
        <v>1.0009647922415295</v>
      </c>
      <c r="L1189" s="110">
        <v>1.4030024889641701</v>
      </c>
      <c r="M1189" s="110"/>
      <c r="N1189" s="110"/>
      <c r="O1189" s="110"/>
      <c r="P1189" s="110">
        <v>2.7999130000000001</v>
      </c>
      <c r="Q1189" s="110"/>
      <c r="R1189" s="110"/>
      <c r="S1189" s="110"/>
      <c r="T1189" s="110"/>
    </row>
    <row r="1190" spans="1:20">
      <c r="A1190" s="110" t="s">
        <v>44</v>
      </c>
      <c r="B1190" s="110" t="s">
        <v>68</v>
      </c>
      <c r="C1190" s="110">
        <v>10795</v>
      </c>
      <c r="D1190" s="110">
        <v>28.013000000000002</v>
      </c>
      <c r="E1190" s="110">
        <v>400</v>
      </c>
      <c r="F1190" s="110">
        <v>323.14999999999998</v>
      </c>
      <c r="G1190" s="110">
        <v>0.99990188264224211</v>
      </c>
      <c r="H1190" s="110">
        <v>1.4056091164505502</v>
      </c>
      <c r="I1190" s="110">
        <v>660.71050000000002</v>
      </c>
      <c r="J1190" s="110">
        <v>406.25069999999999</v>
      </c>
      <c r="K1190" s="110">
        <v>1.0018801033026539</v>
      </c>
      <c r="L1190" s="110">
        <v>1.402736863366383</v>
      </c>
      <c r="M1190" s="110"/>
      <c r="N1190" s="110"/>
      <c r="O1190" s="110"/>
      <c r="P1190" s="110">
        <v>2.8857179999999998</v>
      </c>
      <c r="Q1190" s="110"/>
      <c r="R1190" s="110"/>
      <c r="S1190" s="110"/>
      <c r="T1190" s="110"/>
    </row>
    <row r="1191" spans="1:20">
      <c r="A1191" s="110" t="s">
        <v>44</v>
      </c>
      <c r="B1191" s="110" t="s">
        <v>68</v>
      </c>
      <c r="C1191" s="110">
        <v>10795</v>
      </c>
      <c r="D1191" s="110">
        <v>28.013000000000002</v>
      </c>
      <c r="E1191" s="110">
        <v>400</v>
      </c>
      <c r="F1191" s="110">
        <v>323.14999999999998</v>
      </c>
      <c r="G1191" s="110">
        <v>0.99990188264224211</v>
      </c>
      <c r="H1191" s="110">
        <v>1.4056091164505502</v>
      </c>
      <c r="I1191" s="110">
        <v>645.12270000000001</v>
      </c>
      <c r="J1191" s="110">
        <v>405.02170000000001</v>
      </c>
      <c r="K1191" s="110">
        <v>1.0026487067112755</v>
      </c>
      <c r="L1191" s="110">
        <v>1.4025301006918476</v>
      </c>
      <c r="M1191" s="110"/>
      <c r="N1191" s="110"/>
      <c r="O1191" s="110"/>
      <c r="P1191" s="110">
        <v>2.9247990000000001</v>
      </c>
      <c r="Q1191" s="110"/>
      <c r="R1191" s="110"/>
      <c r="S1191" s="110"/>
      <c r="T1191" s="110"/>
    </row>
    <row r="1192" spans="1:20">
      <c r="A1192" s="110" t="s">
        <v>44</v>
      </c>
      <c r="B1192" s="110" t="s">
        <v>68</v>
      </c>
      <c r="C1192" s="110">
        <v>10795</v>
      </c>
      <c r="D1192" s="110">
        <v>28.013000000000002</v>
      </c>
      <c r="E1192" s="110">
        <v>400</v>
      </c>
      <c r="F1192" s="110">
        <v>323.14999999999998</v>
      </c>
      <c r="G1192" s="110">
        <v>0.99990188264224211</v>
      </c>
      <c r="H1192" s="110">
        <v>1.4056091164505502</v>
      </c>
      <c r="I1192" s="110">
        <v>615.09340000000009</v>
      </c>
      <c r="J1192" s="110">
        <v>402.81299999999999</v>
      </c>
      <c r="K1192" s="110">
        <v>1.0035221684472657</v>
      </c>
      <c r="L1192" s="110">
        <v>1.4022723437825118</v>
      </c>
      <c r="M1192" s="110"/>
      <c r="N1192" s="110"/>
      <c r="O1192" s="110"/>
      <c r="P1192" s="110">
        <v>2.9904609999999998</v>
      </c>
      <c r="Q1192" s="110"/>
      <c r="R1192" s="110"/>
      <c r="S1192" s="110"/>
      <c r="T1192" s="110"/>
    </row>
    <row r="1193" spans="1:20">
      <c r="A1193" s="110" t="s">
        <v>44</v>
      </c>
      <c r="B1193" s="110" t="s">
        <v>68</v>
      </c>
      <c r="C1193" s="110">
        <v>10795</v>
      </c>
      <c r="D1193" s="110">
        <v>28.013000000000002</v>
      </c>
      <c r="E1193" s="110">
        <v>400</v>
      </c>
      <c r="F1193" s="110">
        <v>323.14999999999998</v>
      </c>
      <c r="G1193" s="110">
        <v>0.99990188264224211</v>
      </c>
      <c r="H1193" s="110">
        <v>1.4056091164505502</v>
      </c>
      <c r="I1193" s="110">
        <v>599.91820000000007</v>
      </c>
      <c r="J1193" s="110">
        <v>401.73059999999998</v>
      </c>
      <c r="K1193" s="110">
        <v>1.0033181618935596</v>
      </c>
      <c r="L1193" s="110">
        <v>1.4022127753464362</v>
      </c>
      <c r="M1193" s="110"/>
      <c r="N1193" s="110"/>
      <c r="O1193" s="110"/>
      <c r="P1193" s="110">
        <v>3.0205250000000001</v>
      </c>
      <c r="Q1193" s="110"/>
      <c r="R1193" s="110"/>
      <c r="S1193" s="110"/>
      <c r="T1193" s="110"/>
    </row>
    <row r="1194" spans="1:20">
      <c r="A1194" s="110" t="s">
        <v>44</v>
      </c>
      <c r="B1194" s="110" t="s">
        <v>68</v>
      </c>
      <c r="C1194" s="110">
        <v>10795</v>
      </c>
      <c r="D1194" s="110">
        <v>28.013000000000002</v>
      </c>
      <c r="E1194" s="110">
        <v>400</v>
      </c>
      <c r="F1194" s="110">
        <v>323.14999999999998</v>
      </c>
      <c r="G1194" s="110">
        <v>0.99990188264224211</v>
      </c>
      <c r="H1194" s="110">
        <v>1.4056091164505502</v>
      </c>
      <c r="I1194" s="110">
        <v>585.44679999999994</v>
      </c>
      <c r="J1194" s="110">
        <v>400.7174</v>
      </c>
      <c r="K1194" s="110">
        <v>1.0025542988228717</v>
      </c>
      <c r="L1194" s="110">
        <v>1.4022073974095113</v>
      </c>
      <c r="M1194" s="110"/>
      <c r="N1194" s="110"/>
      <c r="O1194" s="110"/>
      <c r="P1194" s="110">
        <v>3.04772</v>
      </c>
      <c r="Q1194" s="110"/>
      <c r="R1194" s="110"/>
      <c r="S1194" s="110"/>
      <c r="T1194" s="110"/>
    </row>
    <row r="1195" spans="1:20">
      <c r="A1195" s="110" t="s">
        <v>44</v>
      </c>
      <c r="B1195" s="110" t="s">
        <v>68</v>
      </c>
      <c r="C1195" s="110">
        <v>10795</v>
      </c>
      <c r="D1195" s="110">
        <v>28.013000000000002</v>
      </c>
      <c r="E1195" s="110">
        <v>400</v>
      </c>
      <c r="F1195" s="110">
        <v>323.14999999999998</v>
      </c>
      <c r="G1195" s="110">
        <v>0.99990188264224211</v>
      </c>
      <c r="H1195" s="110">
        <v>1.4056091164505502</v>
      </c>
      <c r="I1195" s="110">
        <v>582.65179999999998</v>
      </c>
      <c r="J1195" s="110">
        <v>400.52300000000002</v>
      </c>
      <c r="K1195" s="110">
        <v>1.0023342363894865</v>
      </c>
      <c r="L1195" s="110">
        <v>1.4022140663624798</v>
      </c>
      <c r="M1195" s="110"/>
      <c r="N1195" s="110"/>
      <c r="O1195" s="110"/>
      <c r="P1195" s="110">
        <v>3.052845</v>
      </c>
      <c r="Q1195" s="110"/>
      <c r="R1195" s="110"/>
      <c r="S1195" s="110"/>
      <c r="T1195" s="110"/>
    </row>
    <row r="1196" spans="1:20">
      <c r="A1196" s="110" t="s">
        <v>44</v>
      </c>
      <c r="B1196" s="110" t="s">
        <v>68</v>
      </c>
      <c r="C1196" s="110">
        <v>10795</v>
      </c>
      <c r="D1196" s="110">
        <v>28.013000000000002</v>
      </c>
      <c r="E1196" s="110">
        <v>400</v>
      </c>
      <c r="F1196" s="110">
        <v>323.14999999999998</v>
      </c>
      <c r="G1196" s="110">
        <v>0.99990188264224211</v>
      </c>
      <c r="H1196" s="110">
        <v>1.4056091164505502</v>
      </c>
      <c r="I1196" s="110">
        <v>581.31799999999998</v>
      </c>
      <c r="J1196" s="110">
        <v>400.43029999999999</v>
      </c>
      <c r="K1196" s="110">
        <v>1.0022204360032367</v>
      </c>
      <c r="L1196" s="110">
        <v>1.4022182557952416</v>
      </c>
      <c r="M1196" s="110"/>
      <c r="N1196" s="110"/>
      <c r="O1196" s="110"/>
      <c r="P1196" s="110">
        <v>3.0552790000000001</v>
      </c>
      <c r="Q1196" s="110"/>
      <c r="R1196" s="110"/>
      <c r="S1196" s="110"/>
      <c r="T1196" s="110"/>
    </row>
    <row r="1197" spans="1:20">
      <c r="A1197" s="110" t="s">
        <v>44</v>
      </c>
      <c r="B1197" s="110" t="s">
        <v>68</v>
      </c>
      <c r="C1197" s="110">
        <v>10160</v>
      </c>
      <c r="D1197" s="110">
        <v>28.013000000000002</v>
      </c>
      <c r="E1197" s="110">
        <v>400</v>
      </c>
      <c r="F1197" s="110">
        <v>323.14999999999998</v>
      </c>
      <c r="G1197" s="110">
        <v>0.99990188264224211</v>
      </c>
      <c r="H1197" s="110">
        <v>1.4056091164505502</v>
      </c>
      <c r="I1197" s="110">
        <v>789.75009999999997</v>
      </c>
      <c r="J1197" s="110">
        <v>427.25650000000002</v>
      </c>
      <c r="K1197" s="110">
        <v>1.0037244037747826</v>
      </c>
      <c r="L1197" s="110">
        <v>1.4017858350428096</v>
      </c>
      <c r="M1197" s="110"/>
      <c r="N1197" s="110"/>
      <c r="O1197" s="110"/>
      <c r="P1197" s="110">
        <v>1.466804</v>
      </c>
      <c r="Q1197" s="110"/>
      <c r="R1197" s="110"/>
      <c r="S1197" s="110"/>
      <c r="T1197" s="110"/>
    </row>
    <row r="1198" spans="1:20">
      <c r="A1198" s="110" t="s">
        <v>44</v>
      </c>
      <c r="B1198" s="110" t="s">
        <v>68</v>
      </c>
      <c r="C1198" s="110">
        <v>10160</v>
      </c>
      <c r="D1198" s="110">
        <v>28.013000000000002</v>
      </c>
      <c r="E1198" s="110">
        <v>400</v>
      </c>
      <c r="F1198" s="110">
        <v>323.14999999999998</v>
      </c>
      <c r="G1198" s="110">
        <v>0.99990188264224211</v>
      </c>
      <c r="H1198" s="110">
        <v>1.4056091164505502</v>
      </c>
      <c r="I1198" s="110">
        <v>788.22400000000005</v>
      </c>
      <c r="J1198" s="110">
        <v>426.45929999999998</v>
      </c>
      <c r="K1198" s="110">
        <v>1.0037620867255543</v>
      </c>
      <c r="L1198" s="110">
        <v>1.4018401739846413</v>
      </c>
      <c r="M1198" s="110"/>
      <c r="N1198" s="110"/>
      <c r="O1198" s="110"/>
      <c r="P1198" s="110">
        <v>1.4972859999999999</v>
      </c>
      <c r="Q1198" s="110"/>
      <c r="R1198" s="110"/>
      <c r="S1198" s="110"/>
      <c r="T1198" s="110"/>
    </row>
    <row r="1199" spans="1:20">
      <c r="A1199" s="110" t="s">
        <v>44</v>
      </c>
      <c r="B1199" s="110" t="s">
        <v>68</v>
      </c>
      <c r="C1199" s="110">
        <v>10160</v>
      </c>
      <c r="D1199" s="110">
        <v>28.013000000000002</v>
      </c>
      <c r="E1199" s="110">
        <v>400</v>
      </c>
      <c r="F1199" s="110">
        <v>323.14999999999998</v>
      </c>
      <c r="G1199" s="110">
        <v>0.99990188264224211</v>
      </c>
      <c r="H1199" s="110">
        <v>1.4056091164505502</v>
      </c>
      <c r="I1199" s="110">
        <v>787.82439999999997</v>
      </c>
      <c r="J1199" s="110">
        <v>426.25479999999999</v>
      </c>
      <c r="K1199" s="110">
        <v>1.0037717128403534</v>
      </c>
      <c r="L1199" s="110">
        <v>1.4018532133551393</v>
      </c>
      <c r="M1199" s="110"/>
      <c r="N1199" s="110"/>
      <c r="O1199" s="110"/>
      <c r="P1199" s="110">
        <v>1.5052430000000001</v>
      </c>
      <c r="Q1199" s="110"/>
      <c r="R1199" s="110"/>
      <c r="S1199" s="110"/>
      <c r="T1199" s="110"/>
    </row>
    <row r="1200" spans="1:20">
      <c r="A1200" s="110" t="s">
        <v>44</v>
      </c>
      <c r="B1200" s="110" t="s">
        <v>68</v>
      </c>
      <c r="C1200" s="110">
        <v>10160</v>
      </c>
      <c r="D1200" s="110">
        <v>28.013000000000002</v>
      </c>
      <c r="E1200" s="110">
        <v>400</v>
      </c>
      <c r="F1200" s="110">
        <v>323.14999999999998</v>
      </c>
      <c r="G1200" s="110">
        <v>0.99990188264224211</v>
      </c>
      <c r="H1200" s="110">
        <v>1.4056091164505502</v>
      </c>
      <c r="I1200" s="110">
        <v>782.50630000000001</v>
      </c>
      <c r="J1200" s="110">
        <v>423.82209999999998</v>
      </c>
      <c r="K1200" s="110">
        <v>1.0038908052412137</v>
      </c>
      <c r="L1200" s="110">
        <v>1.4019752458577881</v>
      </c>
      <c r="M1200" s="110"/>
      <c r="N1200" s="110"/>
      <c r="O1200" s="110"/>
      <c r="P1200" s="110">
        <v>1.600587</v>
      </c>
      <c r="Q1200" s="110"/>
      <c r="R1200" s="110"/>
      <c r="S1200" s="110"/>
      <c r="T1200" s="110"/>
    </row>
    <row r="1201" spans="1:20">
      <c r="A1201" s="110" t="s">
        <v>44</v>
      </c>
      <c r="B1201" s="110" t="s">
        <v>68</v>
      </c>
      <c r="C1201" s="110">
        <v>10160</v>
      </c>
      <c r="D1201" s="110">
        <v>28.013000000000002</v>
      </c>
      <c r="E1201" s="110">
        <v>400</v>
      </c>
      <c r="F1201" s="110">
        <v>323.14999999999998</v>
      </c>
      <c r="G1201" s="110">
        <v>0.99990188264224211</v>
      </c>
      <c r="H1201" s="110">
        <v>1.4056091164505502</v>
      </c>
      <c r="I1201" s="110">
        <v>772.72069999999997</v>
      </c>
      <c r="J1201" s="110">
        <v>420.21929999999998</v>
      </c>
      <c r="K1201" s="110">
        <v>1.0040500432691088</v>
      </c>
      <c r="L1201" s="110">
        <v>1.4020463611583018</v>
      </c>
      <c r="M1201" s="110"/>
      <c r="N1201" s="110"/>
      <c r="O1201" s="110"/>
      <c r="P1201" s="110">
        <v>1.7459640000000001</v>
      </c>
      <c r="Q1201" s="110"/>
      <c r="R1201" s="110"/>
      <c r="S1201" s="110"/>
      <c r="T1201" s="110"/>
    </row>
    <row r="1202" spans="1:20">
      <c r="A1202" s="110" t="s">
        <v>44</v>
      </c>
      <c r="B1202" s="110" t="s">
        <v>68</v>
      </c>
      <c r="C1202" s="110">
        <v>10160</v>
      </c>
      <c r="D1202" s="110">
        <v>28.013000000000002</v>
      </c>
      <c r="E1202" s="110">
        <v>400</v>
      </c>
      <c r="F1202" s="110">
        <v>323.14999999999998</v>
      </c>
      <c r="G1202" s="110">
        <v>0.99990188264224211</v>
      </c>
      <c r="H1202" s="110">
        <v>1.4056091164505502</v>
      </c>
      <c r="I1202" s="110">
        <v>756.12220000000002</v>
      </c>
      <c r="J1202" s="110">
        <v>415.78379999999999</v>
      </c>
      <c r="K1202" s="110">
        <v>1.0040728246614563</v>
      </c>
      <c r="L1202" s="110">
        <v>1.4022974754531796</v>
      </c>
      <c r="M1202" s="110"/>
      <c r="N1202" s="110"/>
      <c r="O1202" s="110"/>
      <c r="P1202" s="110">
        <v>1.9289480000000001</v>
      </c>
      <c r="Q1202" s="110"/>
      <c r="R1202" s="110"/>
      <c r="S1202" s="110"/>
      <c r="T1202" s="110"/>
    </row>
    <row r="1203" spans="1:20">
      <c r="A1203" s="110" t="s">
        <v>44</v>
      </c>
      <c r="B1203" s="110" t="s">
        <v>68</v>
      </c>
      <c r="C1203" s="110">
        <v>10160</v>
      </c>
      <c r="D1203" s="110">
        <v>28.013000000000002</v>
      </c>
      <c r="E1203" s="110">
        <v>400</v>
      </c>
      <c r="F1203" s="110">
        <v>323.14999999999998</v>
      </c>
      <c r="G1203" s="110">
        <v>0.99990188264224211</v>
      </c>
      <c r="H1203" s="110">
        <v>1.4056091164505502</v>
      </c>
      <c r="I1203" s="110">
        <v>739.5145</v>
      </c>
      <c r="J1203" s="110">
        <v>412.29640000000001</v>
      </c>
      <c r="K1203" s="110">
        <v>1.0036916650528691</v>
      </c>
      <c r="L1203" s="110">
        <v>1.4025111900090279</v>
      </c>
      <c r="M1203" s="110"/>
      <c r="N1203" s="110"/>
      <c r="O1203" s="110"/>
      <c r="P1203" s="110">
        <v>2.0758169999999998</v>
      </c>
      <c r="Q1203" s="110"/>
      <c r="R1203" s="110"/>
      <c r="S1203" s="110"/>
      <c r="T1203" s="110"/>
    </row>
    <row r="1204" spans="1:20">
      <c r="A1204" s="110" t="s">
        <v>44</v>
      </c>
      <c r="B1204" s="110" t="s">
        <v>68</v>
      </c>
      <c r="C1204" s="110">
        <v>10160</v>
      </c>
      <c r="D1204" s="110">
        <v>28.013000000000002</v>
      </c>
      <c r="E1204" s="110">
        <v>400</v>
      </c>
      <c r="F1204" s="110">
        <v>323.14999999999998</v>
      </c>
      <c r="G1204" s="110">
        <v>0.99990188264224211</v>
      </c>
      <c r="H1204" s="110">
        <v>1.4056091164505502</v>
      </c>
      <c r="I1204" s="110">
        <v>722.41869999999994</v>
      </c>
      <c r="J1204" s="110">
        <v>409.3075</v>
      </c>
      <c r="K1204" s="110">
        <v>1.0027851960287346</v>
      </c>
      <c r="L1204" s="110">
        <v>1.4026446253151945</v>
      </c>
      <c r="M1204" s="110"/>
      <c r="N1204" s="110"/>
      <c r="O1204" s="110"/>
      <c r="P1204" s="110">
        <v>2.2020569999999999</v>
      </c>
      <c r="Q1204" s="110"/>
      <c r="R1204" s="110"/>
      <c r="S1204" s="110"/>
      <c r="T1204" s="110"/>
    </row>
    <row r="1205" spans="1:20">
      <c r="A1205" s="110" t="s">
        <v>44</v>
      </c>
      <c r="B1205" s="110" t="s">
        <v>68</v>
      </c>
      <c r="C1205" s="110">
        <v>10160</v>
      </c>
      <c r="D1205" s="110">
        <v>28.013000000000002</v>
      </c>
      <c r="E1205" s="110">
        <v>400</v>
      </c>
      <c r="F1205" s="110">
        <v>323.14999999999998</v>
      </c>
      <c r="G1205" s="110">
        <v>0.99990188264224211</v>
      </c>
      <c r="H1205" s="110">
        <v>1.4056091164505502</v>
      </c>
      <c r="I1205" s="110">
        <v>684.26549999999997</v>
      </c>
      <c r="J1205" s="110">
        <v>404.05</v>
      </c>
      <c r="K1205" s="110">
        <v>1.000957507887297</v>
      </c>
      <c r="L1205" s="110">
        <v>1.4031386113681756</v>
      </c>
      <c r="M1205" s="110"/>
      <c r="N1205" s="110"/>
      <c r="O1205" s="110"/>
      <c r="P1205" s="110">
        <v>2.4168609999999999</v>
      </c>
      <c r="Q1205" s="110"/>
      <c r="R1205" s="110"/>
      <c r="S1205" s="110"/>
      <c r="T1205" s="110"/>
    </row>
    <row r="1206" spans="1:20">
      <c r="A1206" s="110" t="s">
        <v>44</v>
      </c>
      <c r="B1206" s="110" t="s">
        <v>68</v>
      </c>
      <c r="C1206" s="110">
        <v>10160</v>
      </c>
      <c r="D1206" s="110">
        <v>28.013000000000002</v>
      </c>
      <c r="E1206" s="110">
        <v>400</v>
      </c>
      <c r="F1206" s="110">
        <v>323.14999999999998</v>
      </c>
      <c r="G1206" s="110">
        <v>0.99990188264224211</v>
      </c>
      <c r="H1206" s="110">
        <v>1.4056091164505502</v>
      </c>
      <c r="I1206" s="110">
        <v>636.51409999999998</v>
      </c>
      <c r="J1206" s="110">
        <v>399.17779999999999</v>
      </c>
      <c r="K1206" s="110">
        <v>1.0029508037570525</v>
      </c>
      <c r="L1206" s="110">
        <v>1.4030031263974896</v>
      </c>
      <c r="M1206" s="110"/>
      <c r="N1206" s="110"/>
      <c r="O1206" s="110"/>
      <c r="P1206" s="110">
        <v>2.5998220000000001</v>
      </c>
      <c r="Q1206" s="110"/>
      <c r="R1206" s="110"/>
      <c r="S1206" s="110"/>
      <c r="T1206" s="110"/>
    </row>
    <row r="1207" spans="1:20">
      <c r="A1207" s="110" t="s">
        <v>44</v>
      </c>
      <c r="B1207" s="110" t="s">
        <v>68</v>
      </c>
      <c r="C1207" s="110">
        <v>10160</v>
      </c>
      <c r="D1207" s="110">
        <v>28.013000000000002</v>
      </c>
      <c r="E1207" s="110">
        <v>400</v>
      </c>
      <c r="F1207" s="110">
        <v>323.14999999999998</v>
      </c>
      <c r="G1207" s="110">
        <v>0.99990188264224211</v>
      </c>
      <c r="H1207" s="110">
        <v>1.4056091164505502</v>
      </c>
      <c r="I1207" s="110">
        <v>626.97860000000003</v>
      </c>
      <c r="J1207" s="110">
        <v>398.32249999999999</v>
      </c>
      <c r="K1207" s="110">
        <v>1.0032640503496713</v>
      </c>
      <c r="L1207" s="110">
        <v>1.402927148082485</v>
      </c>
      <c r="M1207" s="110"/>
      <c r="N1207" s="110"/>
      <c r="O1207" s="110"/>
      <c r="P1207" s="110">
        <v>2.6297079999999999</v>
      </c>
      <c r="Q1207" s="110"/>
      <c r="R1207" s="110"/>
      <c r="S1207" s="110"/>
      <c r="T1207" s="110"/>
    </row>
    <row r="1208" spans="1:20">
      <c r="A1208" s="110" t="s">
        <v>44</v>
      </c>
      <c r="B1208" s="110" t="s">
        <v>68</v>
      </c>
      <c r="C1208" s="110">
        <v>10160</v>
      </c>
      <c r="D1208" s="110">
        <v>28.013000000000002</v>
      </c>
      <c r="E1208" s="110">
        <v>400</v>
      </c>
      <c r="F1208" s="110">
        <v>323.14999999999998</v>
      </c>
      <c r="G1208" s="110">
        <v>0.99990188264224211</v>
      </c>
      <c r="H1208" s="110">
        <v>1.4056091164505502</v>
      </c>
      <c r="I1208" s="110">
        <v>615.10230000000001</v>
      </c>
      <c r="J1208" s="110">
        <v>397.3186</v>
      </c>
      <c r="K1208" s="110">
        <v>1.0034483124206233</v>
      </c>
      <c r="L1208" s="110">
        <v>1.4028334919744319</v>
      </c>
      <c r="M1208" s="110"/>
      <c r="N1208" s="110"/>
      <c r="O1208" s="110"/>
      <c r="P1208" s="110">
        <v>2.6636649999999999</v>
      </c>
      <c r="Q1208" s="110"/>
      <c r="R1208" s="110"/>
      <c r="S1208" s="110"/>
      <c r="T1208" s="110"/>
    </row>
    <row r="1209" spans="1:20">
      <c r="A1209" s="110" t="s">
        <v>44</v>
      </c>
      <c r="B1209" s="110" t="s">
        <v>68</v>
      </c>
      <c r="C1209" s="110">
        <v>10160</v>
      </c>
      <c r="D1209" s="110">
        <v>28.013000000000002</v>
      </c>
      <c r="E1209" s="110">
        <v>400</v>
      </c>
      <c r="F1209" s="110">
        <v>323.14999999999998</v>
      </c>
      <c r="G1209" s="110">
        <v>0.99990188264224211</v>
      </c>
      <c r="H1209" s="110">
        <v>1.4056091164505502</v>
      </c>
      <c r="I1209" s="110">
        <v>586.28660000000002</v>
      </c>
      <c r="J1209" s="110">
        <v>395.01940000000002</v>
      </c>
      <c r="K1209" s="110">
        <v>1.0025410285360854</v>
      </c>
      <c r="L1209" s="110">
        <v>1.4027397692294834</v>
      </c>
      <c r="M1209" s="110"/>
      <c r="N1209" s="110"/>
      <c r="O1209" s="110"/>
      <c r="P1209" s="110">
        <v>2.7377950000000002</v>
      </c>
      <c r="Q1209" s="110"/>
      <c r="R1209" s="110"/>
      <c r="S1209" s="110"/>
      <c r="T1209" s="110"/>
    </row>
    <row r="1210" spans="1:20">
      <c r="A1210" s="110" t="s">
        <v>44</v>
      </c>
      <c r="B1210" s="110" t="s">
        <v>68</v>
      </c>
      <c r="C1210" s="110">
        <v>10160</v>
      </c>
      <c r="D1210" s="110">
        <v>28.013000000000002</v>
      </c>
      <c r="E1210" s="110">
        <v>400</v>
      </c>
      <c r="F1210" s="110">
        <v>323.14999999999998</v>
      </c>
      <c r="G1210" s="110">
        <v>0.99990188264224211</v>
      </c>
      <c r="H1210" s="110">
        <v>1.4056091164505502</v>
      </c>
      <c r="I1210" s="110">
        <v>571.72349999999994</v>
      </c>
      <c r="J1210" s="110">
        <v>393.8954</v>
      </c>
      <c r="K1210" s="110">
        <v>1.001158861082343</v>
      </c>
      <c r="L1210" s="110">
        <v>1.4030766062770204</v>
      </c>
      <c r="M1210" s="110"/>
      <c r="N1210" s="110"/>
      <c r="O1210" s="110"/>
      <c r="P1210" s="110">
        <v>2.772027</v>
      </c>
      <c r="Q1210" s="110"/>
      <c r="R1210" s="110"/>
      <c r="S1210" s="110"/>
      <c r="T1210" s="110"/>
    </row>
    <row r="1211" spans="1:20">
      <c r="A1211" s="110" t="s">
        <v>44</v>
      </c>
      <c r="B1211" s="110" t="s">
        <v>68</v>
      </c>
      <c r="C1211" s="110">
        <v>10160</v>
      </c>
      <c r="D1211" s="110">
        <v>28.013000000000002</v>
      </c>
      <c r="E1211" s="110">
        <v>400</v>
      </c>
      <c r="F1211" s="110">
        <v>323.14999999999998</v>
      </c>
      <c r="G1211" s="110">
        <v>0.99990188264224211</v>
      </c>
      <c r="H1211" s="110">
        <v>1.4056091164505502</v>
      </c>
      <c r="I1211" s="110">
        <v>565.1925</v>
      </c>
      <c r="J1211" s="110">
        <v>393.40910000000002</v>
      </c>
      <c r="K1211" s="110">
        <v>1.0006406190657622</v>
      </c>
      <c r="L1211" s="110">
        <v>1.403095776383406</v>
      </c>
      <c r="M1211" s="110"/>
      <c r="N1211" s="110"/>
      <c r="O1211" s="110"/>
      <c r="P1211" s="110">
        <v>2.7864170000000001</v>
      </c>
      <c r="Q1211" s="110"/>
      <c r="R1211" s="110"/>
      <c r="S1211" s="110"/>
      <c r="T1211" s="110"/>
    </row>
    <row r="1212" spans="1:20">
      <c r="A1212" s="110" t="s">
        <v>44</v>
      </c>
      <c r="B1212" s="110" t="s">
        <v>68</v>
      </c>
      <c r="C1212" s="110">
        <v>10160</v>
      </c>
      <c r="D1212" s="110">
        <v>28.013000000000002</v>
      </c>
      <c r="E1212" s="110">
        <v>400</v>
      </c>
      <c r="F1212" s="110">
        <v>323.14999999999998</v>
      </c>
      <c r="G1212" s="110">
        <v>0.99990188264224211</v>
      </c>
      <c r="H1212" s="110">
        <v>1.4056091164505502</v>
      </c>
      <c r="I1212" s="110">
        <v>562.46980000000008</v>
      </c>
      <c r="J1212" s="110">
        <v>393.20949999999999</v>
      </c>
      <c r="K1212" s="110">
        <v>1.0005218314588198</v>
      </c>
      <c r="L1212" s="110">
        <v>1.4030933784073985</v>
      </c>
      <c r="M1212" s="110"/>
      <c r="N1212" s="110"/>
      <c r="O1212" s="110"/>
      <c r="P1212" s="110">
        <v>2.7922530000000001</v>
      </c>
      <c r="Q1212" s="110"/>
      <c r="R1212" s="110"/>
      <c r="S1212" s="110"/>
      <c r="T1212" s="110"/>
    </row>
    <row r="1213" spans="1:20">
      <c r="A1213" s="110" t="s">
        <v>44</v>
      </c>
      <c r="B1213" s="110" t="s">
        <v>68</v>
      </c>
      <c r="C1213" s="110">
        <v>10160</v>
      </c>
      <c r="D1213" s="110">
        <v>28.013000000000002</v>
      </c>
      <c r="E1213" s="110">
        <v>400</v>
      </c>
      <c r="F1213" s="110">
        <v>323.14999999999998</v>
      </c>
      <c r="G1213" s="110">
        <v>0.99990188264224211</v>
      </c>
      <c r="H1213" s="110">
        <v>1.4056091164505502</v>
      </c>
      <c r="I1213" s="110">
        <v>561.18880000000001</v>
      </c>
      <c r="J1213" s="110">
        <v>393.11630000000002</v>
      </c>
      <c r="K1213" s="110">
        <v>1.0004830595817149</v>
      </c>
      <c r="L1213" s="110">
        <v>1.4030903007015998</v>
      </c>
      <c r="M1213" s="110"/>
      <c r="N1213" s="110"/>
      <c r="O1213" s="110"/>
      <c r="P1213" s="110">
        <v>2.7949670000000002</v>
      </c>
      <c r="Q1213" s="110"/>
      <c r="R1213" s="110"/>
      <c r="S1213" s="110"/>
      <c r="T1213" s="110"/>
    </row>
    <row r="1214" spans="1:20">
      <c r="A1214" s="110" t="s">
        <v>44</v>
      </c>
      <c r="B1214" s="110" t="s">
        <v>68</v>
      </c>
      <c r="C1214" s="110">
        <v>9525</v>
      </c>
      <c r="D1214" s="110">
        <v>28.013000000000002</v>
      </c>
      <c r="E1214" s="110">
        <v>400</v>
      </c>
      <c r="F1214" s="110">
        <v>323.14999999999998</v>
      </c>
      <c r="G1214" s="110">
        <v>0.99990188264224211</v>
      </c>
      <c r="H1214" s="110">
        <v>1.4056091164505502</v>
      </c>
      <c r="I1214" s="110">
        <v>728.70429999999999</v>
      </c>
      <c r="J1214" s="110">
        <v>416.70760000000001</v>
      </c>
      <c r="K1214" s="110">
        <v>1.0032690232635466</v>
      </c>
      <c r="L1214" s="110">
        <v>1.4018805596039956</v>
      </c>
      <c r="M1214" s="110"/>
      <c r="N1214" s="110"/>
      <c r="O1214" s="110"/>
      <c r="P1214" s="110">
        <v>1.3507960000000001</v>
      </c>
      <c r="Q1214" s="110"/>
      <c r="R1214" s="110"/>
      <c r="S1214" s="110"/>
      <c r="T1214" s="110"/>
    </row>
    <row r="1215" spans="1:20">
      <c r="A1215" s="110" t="s">
        <v>44</v>
      </c>
      <c r="B1215" s="110" t="s">
        <v>68</v>
      </c>
      <c r="C1215" s="110">
        <v>9525</v>
      </c>
      <c r="D1215" s="110">
        <v>28.013000000000002</v>
      </c>
      <c r="E1215" s="110">
        <v>400</v>
      </c>
      <c r="F1215" s="110">
        <v>323.14999999999998</v>
      </c>
      <c r="G1215" s="110">
        <v>0.99990188264224211</v>
      </c>
      <c r="H1215" s="110">
        <v>1.4056091164505502</v>
      </c>
      <c r="I1215" s="110">
        <v>726.97979999999995</v>
      </c>
      <c r="J1215" s="110">
        <v>415.76499999999999</v>
      </c>
      <c r="K1215" s="110">
        <v>1.0031587819111909</v>
      </c>
      <c r="L1215" s="110">
        <v>1.4019960049357485</v>
      </c>
      <c r="M1215" s="110"/>
      <c r="N1215" s="110"/>
      <c r="O1215" s="110"/>
      <c r="P1215" s="110">
        <v>1.3864829999999999</v>
      </c>
      <c r="Q1215" s="110"/>
      <c r="R1215" s="110"/>
      <c r="S1215" s="110"/>
      <c r="T1215" s="110"/>
    </row>
    <row r="1216" spans="1:20">
      <c r="A1216" s="110" t="s">
        <v>44</v>
      </c>
      <c r="B1216" s="110" t="s">
        <v>68</v>
      </c>
      <c r="C1216" s="110">
        <v>9525</v>
      </c>
      <c r="D1216" s="110">
        <v>28.013000000000002</v>
      </c>
      <c r="E1216" s="110">
        <v>400</v>
      </c>
      <c r="F1216" s="110">
        <v>323.14999999999998</v>
      </c>
      <c r="G1216" s="110">
        <v>0.99990188264224211</v>
      </c>
      <c r="H1216" s="110">
        <v>1.4056091164505502</v>
      </c>
      <c r="I1216" s="110">
        <v>722.60580000000004</v>
      </c>
      <c r="J1216" s="110">
        <v>413.67290000000003</v>
      </c>
      <c r="K1216" s="110">
        <v>1.0028559823332577</v>
      </c>
      <c r="L1216" s="110">
        <v>1.4022261475676356</v>
      </c>
      <c r="M1216" s="110"/>
      <c r="N1216" s="110"/>
      <c r="O1216" s="110"/>
      <c r="P1216" s="110">
        <v>1.467133</v>
      </c>
      <c r="Q1216" s="110"/>
      <c r="R1216" s="110"/>
      <c r="S1216" s="110"/>
      <c r="T1216" s="110"/>
    </row>
    <row r="1217" spans="1:20">
      <c r="A1217" s="110" t="s">
        <v>44</v>
      </c>
      <c r="B1217" s="110" t="s">
        <v>68</v>
      </c>
      <c r="C1217" s="110">
        <v>9525</v>
      </c>
      <c r="D1217" s="110">
        <v>28.013000000000002</v>
      </c>
      <c r="E1217" s="110">
        <v>400</v>
      </c>
      <c r="F1217" s="110">
        <v>323.14999999999998</v>
      </c>
      <c r="G1217" s="110">
        <v>0.99990188264224211</v>
      </c>
      <c r="H1217" s="110">
        <v>1.4056091164505502</v>
      </c>
      <c r="I1217" s="110">
        <v>714.75580000000002</v>
      </c>
      <c r="J1217" s="110">
        <v>410.59050000000002</v>
      </c>
      <c r="K1217" s="110">
        <v>1.002220665274872</v>
      </c>
      <c r="L1217" s="110">
        <v>1.4025051337428478</v>
      </c>
      <c r="M1217" s="110"/>
      <c r="N1217" s="110"/>
      <c r="O1217" s="110"/>
      <c r="P1217" s="110">
        <v>1.5892949999999999</v>
      </c>
      <c r="Q1217" s="110"/>
      <c r="R1217" s="110"/>
      <c r="S1217" s="110"/>
      <c r="T1217" s="110"/>
    </row>
    <row r="1218" spans="1:20">
      <c r="A1218" s="110" t="s">
        <v>44</v>
      </c>
      <c r="B1218" s="110" t="s">
        <v>68</v>
      </c>
      <c r="C1218" s="110">
        <v>9525</v>
      </c>
      <c r="D1218" s="110">
        <v>28.013000000000002</v>
      </c>
      <c r="E1218" s="110">
        <v>400</v>
      </c>
      <c r="F1218" s="110">
        <v>323.14999999999998</v>
      </c>
      <c r="G1218" s="110">
        <v>0.99990188264224211</v>
      </c>
      <c r="H1218" s="110">
        <v>1.4056091164505502</v>
      </c>
      <c r="I1218" s="110">
        <v>702.54549999999995</v>
      </c>
      <c r="J1218" s="110">
        <v>406.85019999999997</v>
      </c>
      <c r="K1218" s="110">
        <v>1.0012237535652824</v>
      </c>
      <c r="L1218" s="110">
        <v>1.4031669680269425</v>
      </c>
      <c r="M1218" s="110"/>
      <c r="N1218" s="110"/>
      <c r="O1218" s="110"/>
      <c r="P1218" s="110">
        <v>1.740767</v>
      </c>
      <c r="Q1218" s="110"/>
      <c r="R1218" s="110"/>
      <c r="S1218" s="110"/>
      <c r="T1218" s="110"/>
    </row>
    <row r="1219" spans="1:20">
      <c r="A1219" s="110" t="s">
        <v>44</v>
      </c>
      <c r="B1219" s="110" t="s">
        <v>68</v>
      </c>
      <c r="C1219" s="110">
        <v>9525</v>
      </c>
      <c r="D1219" s="110">
        <v>28.013000000000002</v>
      </c>
      <c r="E1219" s="110">
        <v>400</v>
      </c>
      <c r="F1219" s="110">
        <v>323.14999999999998</v>
      </c>
      <c r="G1219" s="110">
        <v>0.99990188264224211</v>
      </c>
      <c r="H1219" s="110">
        <v>1.4056091164505502</v>
      </c>
      <c r="I1219" s="110">
        <v>690.71969999999999</v>
      </c>
      <c r="J1219" s="110">
        <v>403.94510000000002</v>
      </c>
      <c r="K1219" s="110">
        <v>1.000901367729121</v>
      </c>
      <c r="L1219" s="110">
        <v>1.4032131274504034</v>
      </c>
      <c r="M1219" s="110"/>
      <c r="N1219" s="110"/>
      <c r="O1219" s="110"/>
      <c r="P1219" s="110">
        <v>1.861491</v>
      </c>
      <c r="Q1219" s="110"/>
      <c r="R1219" s="110"/>
      <c r="S1219" s="110"/>
      <c r="T1219" s="110"/>
    </row>
    <row r="1220" spans="1:20">
      <c r="A1220" s="110" t="s">
        <v>44</v>
      </c>
      <c r="B1220" s="110" t="s">
        <v>68</v>
      </c>
      <c r="C1220" s="110">
        <v>9525</v>
      </c>
      <c r="D1220" s="110">
        <v>28.013000000000002</v>
      </c>
      <c r="E1220" s="110">
        <v>400</v>
      </c>
      <c r="F1220" s="110">
        <v>323.14999999999998</v>
      </c>
      <c r="G1220" s="110">
        <v>0.99990188264224211</v>
      </c>
      <c r="H1220" s="110">
        <v>1.4056091164505502</v>
      </c>
      <c r="I1220" s="110">
        <v>678.30459999999994</v>
      </c>
      <c r="J1220" s="110">
        <v>401.48349999999999</v>
      </c>
      <c r="K1220" s="110">
        <v>1.0010651670850021</v>
      </c>
      <c r="L1220" s="110">
        <v>1.4034059372905567</v>
      </c>
      <c r="M1220" s="110"/>
      <c r="N1220" s="110"/>
      <c r="O1220" s="110"/>
      <c r="P1220" s="110">
        <v>1.964925</v>
      </c>
      <c r="Q1220" s="110"/>
      <c r="R1220" s="110"/>
      <c r="S1220" s="110"/>
      <c r="T1220" s="110"/>
    </row>
    <row r="1221" spans="1:20">
      <c r="A1221" s="110" t="s">
        <v>44</v>
      </c>
      <c r="B1221" s="110" t="s">
        <v>68</v>
      </c>
      <c r="C1221" s="110">
        <v>9525</v>
      </c>
      <c r="D1221" s="110">
        <v>28.013000000000002</v>
      </c>
      <c r="E1221" s="110">
        <v>400</v>
      </c>
      <c r="F1221" s="110">
        <v>323.14999999999998</v>
      </c>
      <c r="G1221" s="110">
        <v>0.99990188264224211</v>
      </c>
      <c r="H1221" s="110">
        <v>1.4056091164505502</v>
      </c>
      <c r="I1221" s="110">
        <v>651.28870000000006</v>
      </c>
      <c r="J1221" s="110">
        <v>397.26819999999998</v>
      </c>
      <c r="K1221" s="110">
        <v>1.0022357062248619</v>
      </c>
      <c r="L1221" s="110">
        <v>1.403434021357862</v>
      </c>
      <c r="M1221" s="110"/>
      <c r="N1221" s="110"/>
      <c r="O1221" s="110"/>
      <c r="P1221" s="110">
        <v>2.1404939999999999</v>
      </c>
      <c r="Q1221" s="110"/>
      <c r="R1221" s="110"/>
      <c r="S1221" s="110"/>
      <c r="T1221" s="110"/>
    </row>
    <row r="1222" spans="1:20">
      <c r="A1222" s="110" t="s">
        <v>44</v>
      </c>
      <c r="B1222" s="110" t="s">
        <v>68</v>
      </c>
      <c r="C1222" s="110">
        <v>9525</v>
      </c>
      <c r="D1222" s="110">
        <v>28.013000000000002</v>
      </c>
      <c r="E1222" s="110">
        <v>400</v>
      </c>
      <c r="F1222" s="110">
        <v>323.14999999999998</v>
      </c>
      <c r="G1222" s="110">
        <v>0.99990188264224211</v>
      </c>
      <c r="H1222" s="110">
        <v>1.4056091164505502</v>
      </c>
      <c r="I1222" s="110">
        <v>620.37549999999999</v>
      </c>
      <c r="J1222" s="110">
        <v>393.53789999999998</v>
      </c>
      <c r="K1222" s="110">
        <v>1.0033405071587629</v>
      </c>
      <c r="L1222" s="110">
        <v>1.4031815892007058</v>
      </c>
      <c r="M1222" s="110"/>
      <c r="N1222" s="110"/>
      <c r="O1222" s="110"/>
      <c r="P1222" s="110">
        <v>2.289768</v>
      </c>
      <c r="Q1222" s="110"/>
      <c r="R1222" s="110"/>
      <c r="S1222" s="110"/>
      <c r="T1222" s="110"/>
    </row>
    <row r="1223" spans="1:20">
      <c r="A1223" s="110" t="s">
        <v>44</v>
      </c>
      <c r="B1223" s="110" t="s">
        <v>68</v>
      </c>
      <c r="C1223" s="110">
        <v>9525</v>
      </c>
      <c r="D1223" s="110">
        <v>28.013000000000002</v>
      </c>
      <c r="E1223" s="110">
        <v>400</v>
      </c>
      <c r="F1223" s="110">
        <v>323.14999999999998</v>
      </c>
      <c r="G1223" s="110">
        <v>0.99990188264224211</v>
      </c>
      <c r="H1223" s="110">
        <v>1.4056091164505502</v>
      </c>
      <c r="I1223" s="110">
        <v>585.19870000000003</v>
      </c>
      <c r="J1223" s="110">
        <v>390.0129</v>
      </c>
      <c r="K1223" s="110">
        <v>1.0023957216469981</v>
      </c>
      <c r="L1223" s="110">
        <v>1.4029332564931243</v>
      </c>
      <c r="M1223" s="110"/>
      <c r="N1223" s="110"/>
      <c r="O1223" s="110"/>
      <c r="P1223" s="110">
        <v>2.4218989999999998</v>
      </c>
      <c r="Q1223" s="110"/>
      <c r="R1223" s="110"/>
      <c r="S1223" s="110"/>
      <c r="T1223" s="110"/>
    </row>
    <row r="1224" spans="1:20">
      <c r="A1224" s="110" t="s">
        <v>44</v>
      </c>
      <c r="B1224" s="110" t="s">
        <v>68</v>
      </c>
      <c r="C1224" s="110">
        <v>9525</v>
      </c>
      <c r="D1224" s="110">
        <v>28.013000000000002</v>
      </c>
      <c r="E1224" s="110">
        <v>400</v>
      </c>
      <c r="F1224" s="110">
        <v>323.14999999999998</v>
      </c>
      <c r="G1224" s="110">
        <v>0.99990188264224211</v>
      </c>
      <c r="H1224" s="110">
        <v>1.4056091164505502</v>
      </c>
      <c r="I1224" s="110">
        <v>542.17340000000002</v>
      </c>
      <c r="J1224" s="110">
        <v>386.46</v>
      </c>
      <c r="K1224" s="110">
        <v>1.0007574851005208</v>
      </c>
      <c r="L1224" s="110">
        <v>1.4033532937049662</v>
      </c>
      <c r="M1224" s="110"/>
      <c r="N1224" s="110"/>
      <c r="O1224" s="110"/>
      <c r="P1224" s="110">
        <v>2.5417109999999998</v>
      </c>
      <c r="Q1224" s="110"/>
      <c r="R1224" s="110"/>
      <c r="S1224" s="110"/>
      <c r="T1224" s="110"/>
    </row>
    <row r="1225" spans="1:20">
      <c r="A1225" s="110" t="s">
        <v>44</v>
      </c>
      <c r="B1225" s="110" t="s">
        <v>68</v>
      </c>
      <c r="C1225" s="110">
        <v>9525</v>
      </c>
      <c r="D1225" s="110">
        <v>28.013000000000002</v>
      </c>
      <c r="E1225" s="110">
        <v>400</v>
      </c>
      <c r="F1225" s="110">
        <v>323.14999999999998</v>
      </c>
      <c r="G1225" s="110">
        <v>0.99990188264224211</v>
      </c>
      <c r="H1225" s="110">
        <v>1.4056091164505502</v>
      </c>
      <c r="I1225" s="110">
        <v>542.13339999999994</v>
      </c>
      <c r="J1225" s="110">
        <v>386.45690000000002</v>
      </c>
      <c r="K1225" s="110">
        <v>1.0007594689699573</v>
      </c>
      <c r="L1225" s="110">
        <v>1.4033530457099501</v>
      </c>
      <c r="M1225" s="110"/>
      <c r="N1225" s="110"/>
      <c r="O1225" s="110"/>
      <c r="P1225" s="110">
        <v>2.5418080000000001</v>
      </c>
      <c r="Q1225" s="110"/>
      <c r="R1225" s="110"/>
      <c r="S1225" s="110"/>
      <c r="T1225" s="110"/>
    </row>
    <row r="1226" spans="1:20">
      <c r="A1226" s="110" t="s">
        <v>44</v>
      </c>
      <c r="B1226" s="110" t="s">
        <v>68</v>
      </c>
      <c r="C1226" s="110">
        <v>9525</v>
      </c>
      <c r="D1226" s="110">
        <v>28.013000000000002</v>
      </c>
      <c r="E1226" s="110">
        <v>400</v>
      </c>
      <c r="F1226" s="110">
        <v>323.14999999999998</v>
      </c>
      <c r="G1226" s="110">
        <v>0.99990188264224211</v>
      </c>
      <c r="H1226" s="110">
        <v>1.4056091164505502</v>
      </c>
      <c r="I1226" s="110">
        <v>512.66</v>
      </c>
      <c r="J1226" s="110">
        <v>384.95030000000003</v>
      </c>
      <c r="K1226" s="110">
        <v>1.0025016318857294</v>
      </c>
      <c r="L1226" s="110">
        <v>1.4029835527745977</v>
      </c>
      <c r="M1226" s="110"/>
      <c r="N1226" s="110"/>
      <c r="O1226" s="110"/>
      <c r="P1226" s="110">
        <v>2.6059410000000001</v>
      </c>
      <c r="Q1226" s="110"/>
      <c r="R1226" s="110"/>
      <c r="S1226" s="110"/>
      <c r="T1226" s="110"/>
    </row>
    <row r="1227" spans="1:20">
      <c r="A1227" s="110" t="s">
        <v>44</v>
      </c>
      <c r="B1227" s="110" t="s">
        <v>68</v>
      </c>
      <c r="C1227" s="110">
        <v>8890</v>
      </c>
      <c r="D1227" s="110">
        <v>28.013000000000002</v>
      </c>
      <c r="E1227" s="110">
        <v>400</v>
      </c>
      <c r="F1227" s="110">
        <v>323.14999999999998</v>
      </c>
      <c r="G1227" s="110">
        <v>0.99990188264224211</v>
      </c>
      <c r="H1227" s="110">
        <v>1.4056091164505502</v>
      </c>
      <c r="I1227" s="110">
        <v>675.60520000000008</v>
      </c>
      <c r="J1227" s="110">
        <v>407.20659999999998</v>
      </c>
      <c r="K1227" s="110">
        <v>1.0012326457838763</v>
      </c>
      <c r="L1227" s="110">
        <v>1.4029173396249968</v>
      </c>
      <c r="M1227" s="110"/>
      <c r="N1227" s="110"/>
      <c r="O1227" s="110"/>
      <c r="P1227" s="110">
        <v>1.2362489999999999</v>
      </c>
      <c r="Q1227" s="110"/>
      <c r="R1227" s="110"/>
      <c r="S1227" s="110"/>
      <c r="T1227" s="110"/>
    </row>
    <row r="1228" spans="1:20">
      <c r="A1228" s="110" t="s">
        <v>44</v>
      </c>
      <c r="B1228" s="110" t="s">
        <v>68</v>
      </c>
      <c r="C1228" s="110">
        <v>8890</v>
      </c>
      <c r="D1228" s="110">
        <v>28.013000000000002</v>
      </c>
      <c r="E1228" s="110">
        <v>400</v>
      </c>
      <c r="F1228" s="110">
        <v>323.14999999999998</v>
      </c>
      <c r="G1228" s="110">
        <v>0.99990188264224211</v>
      </c>
      <c r="H1228" s="110">
        <v>1.4056091164505502</v>
      </c>
      <c r="I1228" s="110">
        <v>674.35859999999991</v>
      </c>
      <c r="J1228" s="110">
        <v>406.44170000000003</v>
      </c>
      <c r="K1228" s="110">
        <v>1.0012682119773324</v>
      </c>
      <c r="L1228" s="110">
        <v>1.4029323534142457</v>
      </c>
      <c r="M1228" s="110"/>
      <c r="N1228" s="110"/>
      <c r="O1228" s="110"/>
      <c r="P1228" s="110">
        <v>1.26389</v>
      </c>
      <c r="Q1228" s="110"/>
      <c r="R1228" s="110"/>
      <c r="S1228" s="110"/>
      <c r="T1228" s="110"/>
    </row>
    <row r="1229" spans="1:20">
      <c r="A1229" s="110" t="s">
        <v>44</v>
      </c>
      <c r="B1229" s="110" t="s">
        <v>68</v>
      </c>
      <c r="C1229" s="110">
        <v>8890</v>
      </c>
      <c r="D1229" s="110">
        <v>28.013000000000002</v>
      </c>
      <c r="E1229" s="110">
        <v>400</v>
      </c>
      <c r="F1229" s="110">
        <v>323.14999999999998</v>
      </c>
      <c r="G1229" s="110">
        <v>0.99990188264224211</v>
      </c>
      <c r="H1229" s="110">
        <v>1.4056091164505502</v>
      </c>
      <c r="I1229" s="110">
        <v>673.74919999999997</v>
      </c>
      <c r="J1229" s="110">
        <v>406.07170000000002</v>
      </c>
      <c r="K1229" s="110">
        <v>1.0012865214607685</v>
      </c>
      <c r="L1229" s="110">
        <v>1.4029376293881743</v>
      </c>
      <c r="M1229" s="110"/>
      <c r="N1229" s="110"/>
      <c r="O1229" s="110"/>
      <c r="P1229" s="110">
        <v>1.277711</v>
      </c>
      <c r="Q1229" s="110"/>
      <c r="R1229" s="110"/>
      <c r="S1229" s="110"/>
      <c r="T1229" s="110"/>
    </row>
    <row r="1230" spans="1:20">
      <c r="A1230" s="110" t="s">
        <v>44</v>
      </c>
      <c r="B1230" s="110" t="s">
        <v>68</v>
      </c>
      <c r="C1230" s="110">
        <v>8890</v>
      </c>
      <c r="D1230" s="110">
        <v>28.013000000000002</v>
      </c>
      <c r="E1230" s="110">
        <v>400</v>
      </c>
      <c r="F1230" s="110">
        <v>323.14999999999998</v>
      </c>
      <c r="G1230" s="110">
        <v>0.99990188264224211</v>
      </c>
      <c r="H1230" s="110">
        <v>1.4056091164505502</v>
      </c>
      <c r="I1230" s="110">
        <v>672.00310000000002</v>
      </c>
      <c r="J1230" s="110">
        <v>405.08640000000003</v>
      </c>
      <c r="K1230" s="110">
        <v>1.0013428883458506</v>
      </c>
      <c r="L1230" s="110">
        <v>1.4029438857567507</v>
      </c>
      <c r="M1230" s="110"/>
      <c r="N1230" s="110"/>
      <c r="O1230" s="110"/>
      <c r="P1230" s="110">
        <v>1.3147230000000001</v>
      </c>
      <c r="Q1230" s="110"/>
      <c r="R1230" s="110"/>
      <c r="S1230" s="110"/>
      <c r="T1230" s="110"/>
    </row>
    <row r="1231" spans="1:20">
      <c r="A1231" s="110" t="s">
        <v>44</v>
      </c>
      <c r="B1231" s="110" t="s">
        <v>68</v>
      </c>
      <c r="C1231" s="110">
        <v>8890</v>
      </c>
      <c r="D1231" s="110">
        <v>28.013000000000002</v>
      </c>
      <c r="E1231" s="110">
        <v>400</v>
      </c>
      <c r="F1231" s="110">
        <v>323.14999999999998</v>
      </c>
      <c r="G1231" s="110">
        <v>0.99990188264224211</v>
      </c>
      <c r="H1231" s="110">
        <v>1.4056091164505502</v>
      </c>
      <c r="I1231" s="110">
        <v>667.02339999999992</v>
      </c>
      <c r="J1231" s="110">
        <v>402.84129999999999</v>
      </c>
      <c r="K1231" s="110">
        <v>1.0015292595082248</v>
      </c>
      <c r="L1231" s="110">
        <v>1.4030810736220092</v>
      </c>
      <c r="M1231" s="110"/>
      <c r="N1231" s="110"/>
      <c r="O1231" s="110"/>
      <c r="P1231" s="110">
        <v>1.399899</v>
      </c>
      <c r="Q1231" s="110"/>
      <c r="R1231" s="110"/>
      <c r="S1231" s="110"/>
      <c r="T1231" s="110"/>
    </row>
    <row r="1232" spans="1:20">
      <c r="A1232" s="110" t="s">
        <v>44</v>
      </c>
      <c r="B1232" s="110" t="s">
        <v>68</v>
      </c>
      <c r="C1232" s="110">
        <v>8890</v>
      </c>
      <c r="D1232" s="110">
        <v>28.013000000000002</v>
      </c>
      <c r="E1232" s="110">
        <v>400</v>
      </c>
      <c r="F1232" s="110">
        <v>323.14999999999998</v>
      </c>
      <c r="G1232" s="110">
        <v>0.99990188264224211</v>
      </c>
      <c r="H1232" s="110">
        <v>1.4056091164505502</v>
      </c>
      <c r="I1232" s="110">
        <v>659.09760000000006</v>
      </c>
      <c r="J1232" s="110">
        <v>400.00959999999998</v>
      </c>
      <c r="K1232" s="110">
        <v>1.0018759794209073</v>
      </c>
      <c r="L1232" s="110">
        <v>1.4032984152913104</v>
      </c>
      <c r="M1232" s="110"/>
      <c r="N1232" s="110"/>
      <c r="O1232" s="110"/>
      <c r="P1232" s="110">
        <v>1.5105200000000001</v>
      </c>
      <c r="Q1232" s="110"/>
      <c r="R1232" s="110"/>
      <c r="S1232" s="110"/>
      <c r="T1232" s="110"/>
    </row>
    <row r="1233" spans="1:20">
      <c r="A1233" s="110" t="s">
        <v>44</v>
      </c>
      <c r="B1233" s="110" t="s">
        <v>68</v>
      </c>
      <c r="C1233" s="110">
        <v>8890</v>
      </c>
      <c r="D1233" s="110">
        <v>28.013000000000002</v>
      </c>
      <c r="E1233" s="110">
        <v>400</v>
      </c>
      <c r="F1233" s="110">
        <v>323.14999999999998</v>
      </c>
      <c r="G1233" s="110">
        <v>0.99990188264224211</v>
      </c>
      <c r="H1233" s="110">
        <v>1.4056091164505502</v>
      </c>
      <c r="I1233" s="110">
        <v>653.96699999999998</v>
      </c>
      <c r="J1233" s="110">
        <v>398.43610000000001</v>
      </c>
      <c r="K1233" s="110">
        <v>1.0021157861582477</v>
      </c>
      <c r="L1233" s="110">
        <v>1.4033741344095745</v>
      </c>
      <c r="M1233" s="110"/>
      <c r="N1233" s="110"/>
      <c r="O1233" s="110"/>
      <c r="P1233" s="110">
        <v>1.5736110000000001</v>
      </c>
      <c r="Q1233" s="110"/>
      <c r="R1233" s="110"/>
      <c r="S1233" s="110"/>
      <c r="T1233" s="110"/>
    </row>
    <row r="1234" spans="1:20">
      <c r="A1234" s="110" t="s">
        <v>44</v>
      </c>
      <c r="B1234" s="110" t="s">
        <v>68</v>
      </c>
      <c r="C1234" s="110">
        <v>8890</v>
      </c>
      <c r="D1234" s="110">
        <v>28.013000000000002</v>
      </c>
      <c r="E1234" s="110">
        <v>400</v>
      </c>
      <c r="F1234" s="110">
        <v>323.14999999999998</v>
      </c>
      <c r="G1234" s="110">
        <v>0.99990188264224211</v>
      </c>
      <c r="H1234" s="110">
        <v>1.4056091164505502</v>
      </c>
      <c r="I1234" s="110">
        <v>644.35349999999994</v>
      </c>
      <c r="J1234" s="110">
        <v>395.93099999999998</v>
      </c>
      <c r="K1234" s="110">
        <v>1.0025588806596217</v>
      </c>
      <c r="L1234" s="110">
        <v>1.4034225918030392</v>
      </c>
      <c r="M1234" s="110"/>
      <c r="N1234" s="110"/>
      <c r="O1234" s="110"/>
      <c r="P1234" s="110">
        <v>1.6759770000000001</v>
      </c>
      <c r="Q1234" s="110"/>
      <c r="R1234" s="110"/>
      <c r="S1234" s="110"/>
      <c r="T1234" s="110"/>
    </row>
    <row r="1235" spans="1:20">
      <c r="A1235" s="110" t="s">
        <v>44</v>
      </c>
      <c r="B1235" s="110" t="s">
        <v>68</v>
      </c>
      <c r="C1235" s="110">
        <v>8890</v>
      </c>
      <c r="D1235" s="110">
        <v>28.013000000000002</v>
      </c>
      <c r="E1235" s="110">
        <v>400</v>
      </c>
      <c r="F1235" s="110">
        <v>323.14999999999998</v>
      </c>
      <c r="G1235" s="110">
        <v>0.99990188264224211</v>
      </c>
      <c r="H1235" s="110">
        <v>1.4056091164505502</v>
      </c>
      <c r="I1235" s="110">
        <v>639.55970000000002</v>
      </c>
      <c r="J1235" s="110">
        <v>394.81970000000001</v>
      </c>
      <c r="K1235" s="110">
        <v>1.0027615311721119</v>
      </c>
      <c r="L1235" s="110">
        <v>1.4034173187811692</v>
      </c>
      <c r="M1235" s="110"/>
      <c r="N1235" s="110"/>
      <c r="O1235" s="110"/>
      <c r="P1235" s="110">
        <v>1.7223580000000001</v>
      </c>
      <c r="Q1235" s="110"/>
      <c r="R1235" s="110"/>
      <c r="S1235" s="110"/>
      <c r="T1235" s="110"/>
    </row>
    <row r="1236" spans="1:20">
      <c r="A1236" s="110" t="s">
        <v>44</v>
      </c>
      <c r="B1236" s="110" t="s">
        <v>68</v>
      </c>
      <c r="C1236" s="110">
        <v>8890</v>
      </c>
      <c r="D1236" s="110">
        <v>28.013000000000002</v>
      </c>
      <c r="E1236" s="110">
        <v>400</v>
      </c>
      <c r="F1236" s="110">
        <v>323.14999999999998</v>
      </c>
      <c r="G1236" s="110">
        <v>0.99990188264224211</v>
      </c>
      <c r="H1236" s="110">
        <v>1.4056091164505502</v>
      </c>
      <c r="I1236" s="110">
        <v>630.04349999999999</v>
      </c>
      <c r="J1236" s="110">
        <v>392.87009999999998</v>
      </c>
      <c r="K1236" s="110">
        <v>1.0030966848016254</v>
      </c>
      <c r="L1236" s="110">
        <v>1.403366455318126</v>
      </c>
      <c r="M1236" s="110"/>
      <c r="N1236" s="110"/>
      <c r="O1236" s="110"/>
      <c r="P1236" s="110">
        <v>1.804101</v>
      </c>
      <c r="Q1236" s="110"/>
      <c r="R1236" s="110"/>
      <c r="S1236" s="110"/>
      <c r="T1236" s="110"/>
    </row>
    <row r="1237" spans="1:20">
      <c r="A1237" s="110" t="s">
        <v>44</v>
      </c>
      <c r="B1237" s="110" t="s">
        <v>68</v>
      </c>
      <c r="C1237" s="110">
        <v>8890</v>
      </c>
      <c r="D1237" s="110">
        <v>28.013000000000002</v>
      </c>
      <c r="E1237" s="110">
        <v>400</v>
      </c>
      <c r="F1237" s="110">
        <v>323.14999999999998</v>
      </c>
      <c r="G1237" s="110">
        <v>0.99990188264224211</v>
      </c>
      <c r="H1237" s="110">
        <v>1.4056091164505502</v>
      </c>
      <c r="I1237" s="110">
        <v>625.28300000000002</v>
      </c>
      <c r="J1237" s="110">
        <v>392.00900000000001</v>
      </c>
      <c r="K1237" s="110">
        <v>1.0032195122118048</v>
      </c>
      <c r="L1237" s="110">
        <v>1.4033272475147003</v>
      </c>
      <c r="M1237" s="110"/>
      <c r="N1237" s="110"/>
      <c r="O1237" s="110"/>
      <c r="P1237" s="110">
        <v>1.8402769999999999</v>
      </c>
      <c r="Q1237" s="110"/>
      <c r="R1237" s="110"/>
      <c r="S1237" s="110"/>
      <c r="T1237" s="110"/>
    </row>
    <row r="1238" spans="1:20">
      <c r="A1238" s="110" t="s">
        <v>44</v>
      </c>
      <c r="B1238" s="110" t="s">
        <v>68</v>
      </c>
      <c r="C1238" s="110">
        <v>8890</v>
      </c>
      <c r="D1238" s="110">
        <v>28.013000000000002</v>
      </c>
      <c r="E1238" s="110">
        <v>400</v>
      </c>
      <c r="F1238" s="110">
        <v>323.14999999999998</v>
      </c>
      <c r="G1238" s="110">
        <v>0.99990188264224211</v>
      </c>
      <c r="H1238" s="110">
        <v>1.4056091164505502</v>
      </c>
      <c r="I1238" s="110">
        <v>610.72059999999999</v>
      </c>
      <c r="J1238" s="110">
        <v>389.6277</v>
      </c>
      <c r="K1238" s="110">
        <v>1.003343852381277</v>
      </c>
      <c r="L1238" s="110">
        <v>1.4031852852075954</v>
      </c>
      <c r="M1238" s="110"/>
      <c r="N1238" s="110"/>
      <c r="O1238" s="110"/>
      <c r="P1238" s="110">
        <v>1.940169</v>
      </c>
      <c r="Q1238" s="110"/>
      <c r="R1238" s="110"/>
      <c r="S1238" s="110"/>
      <c r="T1238" s="110"/>
    </row>
    <row r="1239" spans="1:20">
      <c r="A1239" s="110" t="s">
        <v>44</v>
      </c>
      <c r="B1239" s="110" t="s">
        <v>68</v>
      </c>
      <c r="C1239" s="110">
        <v>8890</v>
      </c>
      <c r="D1239" s="110">
        <v>28.013000000000002</v>
      </c>
      <c r="E1239" s="110">
        <v>400</v>
      </c>
      <c r="F1239" s="110">
        <v>323.14999999999998</v>
      </c>
      <c r="G1239" s="110">
        <v>0.99990188264224211</v>
      </c>
      <c r="H1239" s="110">
        <v>1.4056091164505502</v>
      </c>
      <c r="I1239" s="110">
        <v>601.58639999999991</v>
      </c>
      <c r="J1239" s="110">
        <v>388.34179999999998</v>
      </c>
      <c r="K1239" s="110">
        <v>1.0031843017936142</v>
      </c>
      <c r="L1239" s="110">
        <v>1.4032676000773974</v>
      </c>
      <c r="M1239" s="110"/>
      <c r="N1239" s="110"/>
      <c r="O1239" s="110"/>
      <c r="P1239" s="110">
        <v>1.993363</v>
      </c>
      <c r="Q1239" s="110"/>
      <c r="R1239" s="110"/>
      <c r="S1239" s="110"/>
      <c r="T1239" s="110"/>
    </row>
    <row r="1240" spans="1:20">
      <c r="A1240" s="110" t="s">
        <v>44</v>
      </c>
      <c r="B1240" s="110" t="s">
        <v>68</v>
      </c>
      <c r="C1240" s="110">
        <v>8890</v>
      </c>
      <c r="D1240" s="110">
        <v>28.013000000000002</v>
      </c>
      <c r="E1240" s="110">
        <v>400</v>
      </c>
      <c r="F1240" s="110">
        <v>323.14999999999998</v>
      </c>
      <c r="G1240" s="110">
        <v>0.99990188264224211</v>
      </c>
      <c r="H1240" s="110">
        <v>1.4056091164505502</v>
      </c>
      <c r="I1240" s="110">
        <v>584.42899999999997</v>
      </c>
      <c r="J1240" s="110">
        <v>386.21530000000001</v>
      </c>
      <c r="K1240" s="110">
        <v>1.0022810449016741</v>
      </c>
      <c r="L1240" s="110">
        <v>1.4034184956995448</v>
      </c>
      <c r="M1240" s="110"/>
      <c r="N1240" s="110"/>
      <c r="O1240" s="110"/>
      <c r="P1240" s="110">
        <v>2.0796260000000002</v>
      </c>
      <c r="Q1240" s="110"/>
      <c r="R1240" s="110"/>
      <c r="S1240" s="110"/>
      <c r="T1240" s="110"/>
    </row>
    <row r="1241" spans="1:20">
      <c r="A1241" s="110" t="s">
        <v>44</v>
      </c>
      <c r="B1241" s="110" t="s">
        <v>68</v>
      </c>
      <c r="C1241" s="110">
        <v>8890</v>
      </c>
      <c r="D1241" s="110">
        <v>28.013000000000002</v>
      </c>
      <c r="E1241" s="110">
        <v>400</v>
      </c>
      <c r="F1241" s="110">
        <v>323.14999999999998</v>
      </c>
      <c r="G1241" s="110">
        <v>0.99990188264224211</v>
      </c>
      <c r="H1241" s="110">
        <v>1.4056091164505502</v>
      </c>
      <c r="I1241" s="110">
        <v>575.4085</v>
      </c>
      <c r="J1241" s="110">
        <v>385.17660000000001</v>
      </c>
      <c r="K1241" s="110">
        <v>1.0014451651277816</v>
      </c>
      <c r="L1241" s="110">
        <v>1.4035193316871499</v>
      </c>
      <c r="M1241" s="110"/>
      <c r="N1241" s="110"/>
      <c r="O1241" s="110"/>
      <c r="P1241" s="110">
        <v>2.120762</v>
      </c>
      <c r="Q1241" s="110"/>
      <c r="R1241" s="110"/>
      <c r="S1241" s="110"/>
      <c r="T1241" s="110"/>
    </row>
    <row r="1242" spans="1:20">
      <c r="A1242" s="110" t="s">
        <v>44</v>
      </c>
      <c r="B1242" s="110" t="s">
        <v>68</v>
      </c>
      <c r="C1242" s="110">
        <v>8890</v>
      </c>
      <c r="D1242" s="110">
        <v>28.013000000000002</v>
      </c>
      <c r="E1242" s="110">
        <v>400</v>
      </c>
      <c r="F1242" s="110">
        <v>323.14999999999998</v>
      </c>
      <c r="G1242" s="110">
        <v>0.99990188264224211</v>
      </c>
      <c r="H1242" s="110">
        <v>1.4056091164505502</v>
      </c>
      <c r="I1242" s="110">
        <v>556.08760000000007</v>
      </c>
      <c r="J1242" s="110">
        <v>383.20699999999999</v>
      </c>
      <c r="K1242" s="110">
        <v>1.0002910782381327</v>
      </c>
      <c r="L1242" s="110">
        <v>1.4037738460854972</v>
      </c>
      <c r="M1242" s="110"/>
      <c r="N1242" s="110"/>
      <c r="O1242" s="110"/>
      <c r="P1242" s="110">
        <v>2.1959870000000001</v>
      </c>
      <c r="Q1242" s="110"/>
      <c r="R1242" s="110"/>
      <c r="S1242" s="110"/>
      <c r="T1242" s="110"/>
    </row>
    <row r="1243" spans="1:20">
      <c r="A1243" s="110" t="s">
        <v>44</v>
      </c>
      <c r="B1243" s="110" t="s">
        <v>68</v>
      </c>
      <c r="C1243" s="110">
        <v>8890</v>
      </c>
      <c r="D1243" s="110">
        <v>28.013000000000002</v>
      </c>
      <c r="E1243" s="110">
        <v>400</v>
      </c>
      <c r="F1243" s="110">
        <v>323.14999999999998</v>
      </c>
      <c r="G1243" s="110">
        <v>0.99990188264224211</v>
      </c>
      <c r="H1243" s="110">
        <v>1.4056091164505502</v>
      </c>
      <c r="I1243" s="110">
        <v>547.14089999999999</v>
      </c>
      <c r="J1243" s="110">
        <v>382.38479999999998</v>
      </c>
      <c r="K1243" s="110">
        <v>1.0004764510632318</v>
      </c>
      <c r="L1243" s="110">
        <v>1.4037563066430039</v>
      </c>
      <c r="M1243" s="110"/>
      <c r="N1243" s="110"/>
      <c r="O1243" s="110"/>
      <c r="P1243" s="110">
        <v>2.226388</v>
      </c>
      <c r="Q1243" s="110"/>
      <c r="R1243" s="110"/>
      <c r="S1243" s="110"/>
      <c r="T1243" s="110"/>
    </row>
    <row r="1244" spans="1:20">
      <c r="A1244" s="110" t="s">
        <v>44</v>
      </c>
      <c r="B1244" s="110" t="s">
        <v>68</v>
      </c>
      <c r="C1244" s="110">
        <v>8890</v>
      </c>
      <c r="D1244" s="110">
        <v>28.013000000000002</v>
      </c>
      <c r="E1244" s="110">
        <v>400</v>
      </c>
      <c r="F1244" s="110">
        <v>323.14999999999998</v>
      </c>
      <c r="G1244" s="110">
        <v>0.99990188264224211</v>
      </c>
      <c r="H1244" s="110">
        <v>1.4056091164505502</v>
      </c>
      <c r="I1244" s="110">
        <v>529.87780000000009</v>
      </c>
      <c r="J1244" s="110">
        <v>380.87880000000001</v>
      </c>
      <c r="K1244" s="110">
        <v>1.0014097502610184</v>
      </c>
      <c r="L1244" s="110">
        <v>1.4036151276217907</v>
      </c>
      <c r="M1244" s="110"/>
      <c r="N1244" s="110"/>
      <c r="O1244" s="110"/>
      <c r="P1244" s="110">
        <v>2.2801450000000001</v>
      </c>
      <c r="Q1244" s="110"/>
      <c r="R1244" s="110"/>
      <c r="S1244" s="110"/>
      <c r="T1244" s="110"/>
    </row>
    <row r="1245" spans="1:20">
      <c r="A1245" s="110" t="s">
        <v>44</v>
      </c>
      <c r="B1245" s="110" t="s">
        <v>68</v>
      </c>
      <c r="C1245" s="110">
        <v>8890</v>
      </c>
      <c r="D1245" s="110">
        <v>28.013000000000002</v>
      </c>
      <c r="E1245" s="110">
        <v>400</v>
      </c>
      <c r="F1245" s="110">
        <v>323.14999999999998</v>
      </c>
      <c r="G1245" s="110">
        <v>0.99990188264224211</v>
      </c>
      <c r="H1245" s="110">
        <v>1.4056091164505502</v>
      </c>
      <c r="I1245" s="110">
        <v>525.09750000000008</v>
      </c>
      <c r="J1245" s="110">
        <v>380.48099999999999</v>
      </c>
      <c r="K1245" s="110">
        <v>1.0017125293304443</v>
      </c>
      <c r="L1245" s="110">
        <v>1.4035559308386631</v>
      </c>
      <c r="M1245" s="110"/>
      <c r="N1245" s="110"/>
      <c r="O1245" s="110"/>
      <c r="P1245" s="110">
        <v>2.293939</v>
      </c>
      <c r="Q1245" s="110"/>
      <c r="R1245" s="110"/>
      <c r="S1245" s="110"/>
      <c r="T1245" s="110"/>
    </row>
    <row r="1246" spans="1:20">
      <c r="A1246" s="110" t="s">
        <v>44</v>
      </c>
      <c r="B1246" s="110" t="s">
        <v>68</v>
      </c>
      <c r="C1246" s="110">
        <v>8890</v>
      </c>
      <c r="D1246" s="110">
        <v>28.013000000000002</v>
      </c>
      <c r="E1246" s="110">
        <v>400</v>
      </c>
      <c r="F1246" s="110">
        <v>323.14999999999998</v>
      </c>
      <c r="G1246" s="110">
        <v>0.99990188264224211</v>
      </c>
      <c r="H1246" s="110">
        <v>1.4056091164505502</v>
      </c>
      <c r="I1246" s="110">
        <v>524.50130000000001</v>
      </c>
      <c r="J1246" s="110">
        <v>380.43189999999998</v>
      </c>
      <c r="K1246" s="110">
        <v>1.0017499441465483</v>
      </c>
      <c r="L1246" s="110">
        <v>1.4035477766816529</v>
      </c>
      <c r="M1246" s="110"/>
      <c r="N1246" s="110"/>
      <c r="O1246" s="110"/>
      <c r="P1246" s="110">
        <v>2.2956279999999998</v>
      </c>
      <c r="Q1246" s="110"/>
      <c r="R1246" s="110"/>
      <c r="S1246" s="110"/>
      <c r="T1246" s="110"/>
    </row>
  </sheetData>
  <sortState xmlns:xlrd2="http://schemas.microsoft.com/office/spreadsheetml/2017/richdata2" ref="A3:T1246">
    <sortCondition ref="A3:A1246"/>
    <sortCondition ref="B3:B1246"/>
    <sortCondition descending="1" ref="C3:C1246"/>
  </sortState>
  <pageMargins left="0.7" right="0.7" top="0.75" bottom="0.75" header="0.3" footer="0.3"/>
  <pageSetup orientation="portrait" r:id="rId1"/>
  <legacyDrawing r:id="rId2"/>
</worksheet>
</file>

<file path=customUI/customUI.xml><?xml version="1.0" encoding="utf-8"?>
<customUI xmlns="http://schemas.microsoft.com/office/2006/01/customui">
  <ribbon>
    <tabs>
      <tab id="customTab" label="CPAC">
        <group id="grpASP" label="Calculate ASP">
          <button id="btnDigitizer" label="Graph Digitizer" size="large" onAction="StartDigitizerForm" imageMso="ChartTrendline"/>
          <!--button id="btnDataEntry" label="Data Entry" size="large" onAction="StartDataEntryForm" imageMso="DatabaseEncodeDecode" /-->
          <!--button id="btnDataConvert" label="Data Import" size="large" onAction="StartConvertForm" imageMso="DatabaseEncodeDecode" /-->
          <button id="btnCalculate" label="Data Analysis" size="large" onAction="StartCPACForm" imageMso="PageMenu"/>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README</vt:lpstr>
      <vt:lpstr>EX1</vt:lpstr>
      <vt:lpstr>EX2-QAS</vt:lpstr>
      <vt:lpstr>DEBUG</vt:lpstr>
      <vt:lpstr>EX3-LEK</vt:lpstr>
      <vt:lpstr>EX4-K5101</vt:lpstr>
      <vt:lpstr>'EX2-QAS'!Print_Area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Niu, Steve UOA11U</dc:creator>
  <cp:lastModifiedBy>niu</cp:lastModifiedBy>
  <cp:lastPrinted>2019-01-30T05:39:08Z</cp:lastPrinted>
  <dcterms:created xsi:type="dcterms:W3CDTF">2018-04-02T12:47:04Z</dcterms:created>
  <dcterms:modified xsi:type="dcterms:W3CDTF">2022-08-21T19:19:19Z</dcterms:modified>
</cp:coreProperties>
</file>